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CONFIGURACION" sheetId="1" state="visible" r:id="rId1"/>
    <sheet name="02_PRODUCTOS" sheetId="2" state="visible" r:id="rId2"/>
    <sheet name="03_CLIENTES" sheetId="3" state="visible" r:id="rId3"/>
    <sheet name="04_LEADS" sheetId="4" state="visible" r:id="rId4"/>
    <sheet name="05_COTIZACIONES" sheetId="5" state="visible" r:id="rId5"/>
    <sheet name="06_VENTAS" sheetId="6" state="visible" r:id="rId6"/>
    <sheet name="07_DETALLE_VENTAS" sheetId="7" state="visible" r:id="rId7"/>
    <sheet name="08_GASTOS" sheetId="8" state="visible" r:id="rId8"/>
    <sheet name="09_PUBLICIDAD" sheetId="9" state="visible" r:id="rId9"/>
    <sheet name="10_ENVIOS" sheetId="10" state="visible" r:id="rId10"/>
    <sheet name="11_INVENTARIO" sheetId="11" state="visible" r:id="rId11"/>
    <sheet name="12_PITBOT" sheetId="12" state="visible" r:id="rId12"/>
    <sheet name="13_EMBUDO" sheetId="13" state="visible" r:id="rId13"/>
    <sheet name="14_PNL_MENSUAL" sheetId="14" state="visible" r:id="rId14"/>
    <sheet name="15_DASHBOARD_EJE" sheetId="15" state="visible" r:id="rId15"/>
    <sheet name="16_DASH_PRODUCTOS" sheetId="16" state="visible" r:id="rId16"/>
    <sheet name="17_DASH_CLIENTES" sheetId="17" state="visible" r:id="rId17"/>
    <sheet name="18_DASH_GEO" sheetId="18" state="visible" r:id="rId18"/>
    <sheet name="19_DASH_MARKETING" sheetId="19" state="visible" r:id="rId19"/>
    <sheet name="20_DASH_PITBOT" sheetId="20" state="visible" r:id="rId20"/>
  </sheets>
  <definedNames/>
  <calcPr calcId="124519" fullCalcOnLoad="1"/>
</workbook>
</file>

<file path=xl/styles.xml><?xml version="1.0" encoding="utf-8"?>
<styleSheet xmlns="http://schemas.openxmlformats.org/spreadsheetml/2006/main">
  <numFmts count="4">
    <numFmt numFmtId="164" formatCode="0.0"/>
    <numFmt numFmtId="165" formatCode="DD/MM/YYYY"/>
    <numFmt numFmtId="166" formatCode="0.0%"/>
    <numFmt numFmtId="167" formatCode="0.0&quot;%&quot;"/>
  </numFmts>
  <fonts count="57">
    <font>
      <name val="Calibri"/>
      <family val="2"/>
      <color theme="1"/>
      <sz val="11"/>
      <scheme val="minor"/>
    </font>
    <font>
      <name val="Segoe UI"/>
      <b val="1"/>
      <color rgb="00FFFFFF"/>
      <sz val="14"/>
    </font>
    <font>
      <name val="Segoe UI"/>
      <i val="1"/>
      <color rgb="00CCCCCC"/>
      <sz val="9"/>
    </font>
    <font>
      <name val="Segoe UI"/>
      <b val="1"/>
      <color rgb="00FFD700"/>
      <sz val="9"/>
    </font>
    <font>
      <name val="Segoe UI"/>
      <b val="1"/>
      <color rgb="0000BCD4"/>
      <sz val="9"/>
    </font>
    <font>
      <name val="Segoe UI"/>
      <color rgb="000D0D0D"/>
      <sz val="9"/>
    </font>
    <font>
      <name val="Segoe UI"/>
      <b val="1"/>
      <color rgb="001A1A2E"/>
      <sz val="10"/>
    </font>
    <font>
      <name val="Segoe UI"/>
      <i val="1"/>
      <color rgb="00555555"/>
      <sz val="8"/>
    </font>
    <font>
      <name val="Segoe UI"/>
      <b val="1"/>
      <color rgb="00FFFFFF"/>
      <sz val="13"/>
    </font>
    <font>
      <name val="Segoe UI"/>
      <b val="1"/>
      <color rgb="00FFFFFF"/>
      <sz val="9"/>
    </font>
    <font>
      <name val="Segoe UI"/>
      <b val="1"/>
      <color rgb="001B5E20"/>
      <sz val="9"/>
    </font>
    <font>
      <name val="Segoe UI"/>
      <b val="1"/>
      <color rgb="000D47A1"/>
      <sz val="9"/>
    </font>
    <font>
      <name val="Segoe UI"/>
      <b val="1"/>
      <color rgb="00E65100"/>
      <sz val="9"/>
    </font>
    <font>
      <name val="Segoe UI"/>
      <b val="1"/>
      <color rgb="00B71C1C"/>
      <sz val="9"/>
    </font>
    <font>
      <name val="Segoe UI"/>
      <b val="1"/>
      <color rgb="006A1B9A"/>
      <sz val="9"/>
    </font>
    <font>
      <name val="Segoe UI"/>
      <b val="1"/>
      <color rgb="00F57F17"/>
      <sz val="9"/>
    </font>
    <font>
      <name val="Segoe UI"/>
      <b val="1"/>
      <color rgb="001565C0"/>
      <sz val="9"/>
    </font>
    <font>
      <name val="Segoe UI"/>
      <b val="1"/>
      <color rgb="001565C0"/>
      <sz val="10"/>
    </font>
    <font>
      <name val="Segoe UI"/>
      <b val="1"/>
      <color rgb="001565C0"/>
      <sz val="14"/>
    </font>
    <font>
      <name val="Segoe UI"/>
      <i val="1"/>
      <color rgb="00555555"/>
      <sz val="9"/>
    </font>
    <font>
      <name val="Segoe UI"/>
      <b val="1"/>
      <color rgb="00F57F17"/>
      <sz val="10"/>
    </font>
    <font>
      <name val="Segoe UI"/>
      <b val="1"/>
      <color rgb="00F57F17"/>
      <sz val="14"/>
    </font>
    <font>
      <name val="Segoe UI"/>
      <b val="1"/>
      <color rgb="00E65100"/>
      <sz val="10"/>
    </font>
    <font>
      <name val="Segoe UI"/>
      <b val="1"/>
      <color rgb="00E65100"/>
      <sz val="14"/>
    </font>
    <font>
      <name val="Segoe UI"/>
      <b val="1"/>
      <color rgb="002E7D32"/>
      <sz val="10"/>
    </font>
    <font>
      <name val="Segoe UI"/>
      <b val="1"/>
      <color rgb="002E7D32"/>
      <sz val="14"/>
    </font>
    <font>
      <name val="Segoe UI"/>
      <b val="1"/>
      <color rgb="006A1B9A"/>
      <sz val="10"/>
    </font>
    <font>
      <name val="Segoe UI"/>
      <b val="1"/>
      <color rgb="006A1B9A"/>
      <sz val="14"/>
    </font>
    <font>
      <name val="Segoe UI"/>
      <b val="1"/>
      <color rgb="00FFD700"/>
      <sz val="10"/>
    </font>
    <font>
      <name val="Segoe UI"/>
      <b val="1"/>
      <color rgb="00FFD700"/>
      <sz val="11"/>
    </font>
    <font>
      <name val="Segoe UI"/>
      <color rgb="001A1A2E"/>
      <sz val="9"/>
    </font>
    <font>
      <name val="Segoe UI"/>
      <b val="1"/>
      <color rgb="001A1A2E"/>
      <sz val="9"/>
    </font>
    <font>
      <name val="Segoe UI"/>
      <color rgb="00B71C1C"/>
      <sz val="9"/>
    </font>
    <font>
      <name val="Segoe UI"/>
      <color rgb="001B5E20"/>
      <sz val="9"/>
    </font>
    <font>
      <name val="Segoe UI"/>
      <color rgb="00E65100"/>
      <sz val="9"/>
    </font>
    <font>
      <name val="Segoe UI"/>
      <b val="1"/>
      <color rgb="00BF360C"/>
      <sz val="9"/>
    </font>
    <font>
      <name val="Segoe UI"/>
      <color rgb="0033691E"/>
      <sz val="9"/>
    </font>
    <font>
      <name val="Segoe UI"/>
      <b val="1"/>
      <color rgb="0033691E"/>
      <sz val="9"/>
    </font>
    <font>
      <name val="Segoe UI"/>
      <b val="1"/>
      <color rgb="001B5E20"/>
      <sz val="10"/>
    </font>
    <font>
      <name val="Segoe UI"/>
      <b val="1"/>
      <color rgb="001B5E20"/>
      <sz val="11"/>
    </font>
    <font>
      <name val="Segoe UI"/>
      <b val="1"/>
      <color rgb="00FFFFFF"/>
      <sz val="16"/>
    </font>
    <font>
      <name val="Segoe UI"/>
      <color rgb="00CCCCCC"/>
      <sz val="8"/>
    </font>
    <font>
      <name val="Segoe UI"/>
      <b val="1"/>
      <color rgb="001A1A2E"/>
      <sz val="16"/>
    </font>
    <font>
      <name val="Segoe UI"/>
      <b val="1"/>
      <color rgb="00FFFFFF"/>
      <sz val="8"/>
    </font>
    <font>
      <name val="Segoe UI"/>
      <i val="1"/>
      <color rgb="001A237E"/>
      <sz val="9"/>
    </font>
    <font>
      <name val="Segoe UI"/>
      <color rgb="00263238"/>
      <sz val="9"/>
    </font>
    <font>
      <name val="Segoe UI"/>
      <i val="1"/>
      <color rgb="00FFF9C4"/>
      <sz val="8"/>
    </font>
    <font>
      <name val="Segoe UI"/>
      <color rgb="000D0D0D"/>
      <sz val="8"/>
    </font>
    <font>
      <name val="Segoe UI"/>
      <b val="1"/>
      <color rgb="001B5E20"/>
      <sz val="8"/>
    </font>
    <font>
      <name val="Segoe UI"/>
      <color rgb="00555555"/>
      <sz val="8"/>
    </font>
    <font>
      <name val="Segoe UI"/>
      <i val="1"/>
      <color rgb="009E9E9E"/>
      <sz val="8"/>
    </font>
    <font>
      <name val="Segoe UI"/>
      <b val="1"/>
      <color rgb="002E7D32"/>
      <sz val="9"/>
    </font>
    <font>
      <name val="Segoe UI"/>
      <b val="1"/>
      <color rgb="00E65100"/>
      <sz val="8"/>
    </font>
    <font>
      <name val="Segoe UI"/>
      <b val="1"/>
      <color rgb="001565C0"/>
      <sz val="8"/>
    </font>
    <font>
      <name val="Segoe UI"/>
      <b val="1"/>
      <color rgb="00B71C1C"/>
      <sz val="8"/>
    </font>
    <font>
      <name val="Segoe UI"/>
      <b val="1"/>
      <color rgb="00880E4F"/>
      <sz val="8"/>
    </font>
    <font>
      <name val="Segoe UI"/>
      <b val="1"/>
      <color rgb="004A148C"/>
      <sz val="8"/>
    </font>
  </fonts>
  <fills count="48">
    <fill>
      <patternFill/>
    </fill>
    <fill>
      <patternFill patternType="gray125"/>
    </fill>
    <fill>
      <patternFill patternType="solid">
        <fgColor rgb="00E31837"/>
      </patternFill>
    </fill>
    <fill>
      <patternFill patternType="solid">
        <fgColor rgb="001A1A2E"/>
      </patternFill>
    </fill>
    <fill>
      <patternFill patternType="solid">
        <fgColor rgb="0016213E"/>
      </patternFill>
    </fill>
    <fill>
      <patternFill patternType="solid">
        <fgColor rgb="00F5F5F5"/>
      </patternFill>
    </fill>
    <fill>
      <patternFill patternType="solid">
        <fgColor rgb="00FFFDE7"/>
      </patternFill>
    </fill>
    <fill>
      <patternFill patternType="solid">
        <fgColor rgb="001565C0"/>
      </patternFill>
    </fill>
    <fill>
      <patternFill patternType="solid">
        <fgColor rgb="00FFFFFF"/>
      </patternFill>
    </fill>
    <fill>
      <patternFill patternType="solid">
        <fgColor rgb="00FFF9C4"/>
      </patternFill>
    </fill>
    <fill>
      <patternFill patternType="solid">
        <fgColor rgb="00C8E6C9"/>
      </patternFill>
    </fill>
    <fill>
      <patternFill patternType="solid">
        <fgColor rgb="00F0F4FF"/>
      </patternFill>
    </fill>
    <fill>
      <patternFill patternType="solid">
        <fgColor rgb="002E7D32"/>
      </patternFill>
    </fill>
    <fill>
      <patternFill patternType="solid">
        <fgColor rgb="00BBDEFB"/>
      </patternFill>
    </fill>
    <fill>
      <patternFill patternType="solid">
        <fgColor rgb="00FFE0B2"/>
      </patternFill>
    </fill>
    <fill>
      <patternFill patternType="solid">
        <fgColor rgb="00FFCDD2"/>
      </patternFill>
    </fill>
    <fill>
      <patternFill patternType="solid">
        <fgColor rgb="00F57F17"/>
      </patternFill>
    </fill>
    <fill>
      <patternFill patternType="solid">
        <fgColor rgb="00F3E5F5"/>
      </patternFill>
    </fill>
    <fill>
      <patternFill patternType="solid">
        <fgColor rgb="00E3F2FD"/>
      </patternFill>
    </fill>
    <fill>
      <patternFill patternType="solid">
        <fgColor rgb="006A1B9A"/>
      </patternFill>
    </fill>
    <fill>
      <patternFill patternType="solid">
        <fgColor rgb="000D47A1"/>
      </patternFill>
    </fill>
    <fill>
      <patternFill patternType="solid">
        <fgColor rgb="00B71C1C"/>
      </patternFill>
    </fill>
    <fill>
      <patternFill patternType="solid">
        <fgColor rgb="00E8F5E9"/>
      </patternFill>
    </fill>
    <fill>
      <patternFill patternType="solid">
        <fgColor rgb="00FBE9E7"/>
      </patternFill>
    </fill>
    <fill>
      <patternFill patternType="solid">
        <fgColor rgb="00FFF8E1"/>
      </patternFill>
    </fill>
    <fill>
      <patternFill patternType="solid">
        <fgColor rgb="00E0F7FA"/>
      </patternFill>
    </fill>
    <fill>
      <patternFill patternType="solid">
        <fgColor rgb="00F9FBE7"/>
      </patternFill>
    </fill>
    <fill>
      <patternFill patternType="solid">
        <fgColor rgb="00FCE4EC"/>
      </patternFill>
    </fill>
    <fill>
      <patternFill patternType="solid">
        <fgColor rgb="0000695C"/>
      </patternFill>
    </fill>
    <fill>
      <patternFill patternType="solid">
        <fgColor rgb="004A148C"/>
      </patternFill>
    </fill>
    <fill>
      <patternFill patternType="solid">
        <fgColor rgb="00E65100"/>
      </patternFill>
    </fill>
    <fill>
      <patternFill patternType="solid">
        <fgColor rgb="0037474F"/>
      </patternFill>
    </fill>
    <fill>
      <patternFill patternType="solid">
        <fgColor rgb="001A237E"/>
      </patternFill>
    </fill>
    <fill>
      <patternFill patternType="solid">
        <fgColor rgb="00283593"/>
      </patternFill>
    </fill>
    <fill>
      <patternFill patternType="solid">
        <fgColor rgb="00E8EAF6"/>
      </patternFill>
    </fill>
    <fill>
      <patternFill patternType="solid">
        <fgColor rgb="00C5CAE9"/>
      </patternFill>
    </fill>
    <fill>
      <patternFill patternType="solid">
        <fgColor rgb="00FFEBEE"/>
      </patternFill>
    </fill>
    <fill>
      <patternFill patternType="solid">
        <fgColor rgb="00FFF3E0"/>
      </patternFill>
    </fill>
    <fill>
      <patternFill patternType="solid">
        <fgColor rgb="00FFCCBC"/>
      </patternFill>
    </fill>
    <fill>
      <patternFill patternType="solid">
        <fgColor rgb="00DCEDC8"/>
      </patternFill>
    </fill>
    <fill>
      <patternFill patternType="solid">
        <fgColor rgb="00006064"/>
      </patternFill>
    </fill>
    <fill>
      <patternFill patternType="solid">
        <fgColor rgb="00BF360C"/>
      </patternFill>
    </fill>
    <fill>
      <patternFill patternType="solid">
        <fgColor rgb="001B5E20"/>
      </patternFill>
    </fill>
    <fill>
      <patternFill patternType="solid">
        <fgColor rgb="00FFD700"/>
      </patternFill>
    </fill>
    <fill>
      <patternFill patternType="solid">
        <fgColor rgb="00263238"/>
      </patternFill>
    </fill>
    <fill>
      <patternFill patternType="solid">
        <fgColor rgb="00F8F9FA"/>
      </patternFill>
    </fill>
    <fill>
      <patternFill patternType="solid">
        <fgColor rgb="00EEF5FF"/>
      </patternFill>
    </fill>
    <fill>
      <patternFill patternType="solid">
        <fgColor rgb="00F5F0FF"/>
      </patternFill>
    </fill>
  </fills>
  <borders count="12">
    <border>
      <left/>
      <right/>
      <top/>
      <bottom/>
      <diagonal/>
    </border>
    <border>
      <left style="thin">
        <color rgb="00DDDDDD"/>
      </left>
      <right style="thin">
        <color rgb="00DDDDDD"/>
      </right>
      <top style="thin">
        <color rgb="00DDDDDD"/>
      </top>
      <bottom style="thin">
        <color rgb="00DDDDDD"/>
      </bottom>
    </border>
    <border>
      <left style="medium">
        <color rgb="00555555"/>
      </left>
      <right style="medium">
        <color rgb="00555555"/>
      </right>
      <top style="medium">
        <color rgb="00555555"/>
      </top>
      <bottom style="medium">
        <color rgb="00555555"/>
      </bottom>
    </border>
    <border>
      <left/>
      <right/>
      <top style="thin">
        <color rgb="00DDDDDD"/>
      </top>
      <bottom/>
      <diagonal/>
    </border>
    <border>
      <left/>
      <right style="thin">
        <color rgb="00DDDDDD"/>
      </right>
      <top style="thin">
        <color rgb="00DDDDDD"/>
      </top>
      <bottom/>
      <diagonal/>
    </border>
    <border>
      <left/>
      <right/>
      <top style="thin">
        <color rgb="00DDDDDD"/>
      </top>
      <bottom style="thin">
        <color rgb="00DDDDDD"/>
      </bottom>
      <diagonal/>
    </border>
    <border>
      <left/>
      <right style="thin">
        <color rgb="00DDDDDD"/>
      </right>
      <top style="thin">
        <color rgb="00DDDDDD"/>
      </top>
      <bottom style="thin">
        <color rgb="00DDDDDD"/>
      </bottom>
      <diagonal/>
    </border>
    <border>
      <left style="thin">
        <color rgb="00DDDDDD"/>
      </left>
      <right/>
      <top/>
      <bottom/>
      <diagonal/>
    </border>
    <border>
      <left/>
      <right style="thin">
        <color rgb="00DDDDDD"/>
      </right>
      <top/>
      <bottom/>
      <diagonal/>
    </border>
    <border>
      <left style="thin">
        <color rgb="00DDDDDD"/>
      </left>
      <right/>
      <top/>
      <bottom style="thin">
        <color rgb="00DDDDDD"/>
      </bottom>
      <diagonal/>
    </border>
    <border>
      <left/>
      <right/>
      <top/>
      <bottom style="thin">
        <color rgb="00DDDDDD"/>
      </bottom>
      <diagonal/>
    </border>
    <border>
      <left/>
      <right style="thin">
        <color rgb="00DDDDDD"/>
      </right>
      <top/>
      <bottom style="thin">
        <color rgb="00DDDDDD"/>
      </bottom>
      <diagonal/>
    </border>
  </borders>
  <cellStyleXfs count="1">
    <xf numFmtId="0" fontId="0" fillId="0" borderId="0"/>
  </cellStyleXfs>
  <cellXfs count="31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xf>
    <xf numFmtId="0" fontId="4" fillId="3" borderId="1" applyAlignment="1" pivotButton="0" quotePrefix="0" xfId="0">
      <alignment horizontal="left" vertical="center"/>
    </xf>
    <xf numFmtId="0" fontId="5" fillId="5" borderId="1" applyAlignment="1" pivotButton="0" quotePrefix="0" xfId="0">
      <alignment horizontal="left" vertical="center"/>
    </xf>
    <xf numFmtId="4" fontId="6" fillId="6" borderId="2" applyAlignment="1" pivotButton="0" quotePrefix="0" xfId="0">
      <alignment horizontal="right" vertical="center"/>
    </xf>
    <xf numFmtId="0" fontId="7" fillId="5" borderId="1" applyAlignment="1" pivotButton="0" quotePrefix="0" xfId="0">
      <alignment horizontal="left" vertical="center"/>
    </xf>
    <xf numFmtId="0" fontId="8" fillId="7" borderId="0" applyAlignment="1" pivotButton="0" quotePrefix="0" xfId="0">
      <alignment horizontal="center" vertical="center"/>
    </xf>
    <xf numFmtId="0" fontId="9" fillId="7" borderId="1" applyAlignment="1" pivotButton="0" quotePrefix="0" xfId="0">
      <alignment horizontal="center" vertical="center"/>
    </xf>
    <xf numFmtId="0" fontId="5" fillId="8" borderId="1" applyAlignment="1" pivotButton="0" quotePrefix="0" xfId="0">
      <alignment horizontal="center" vertical="center"/>
    </xf>
    <xf numFmtId="0" fontId="5" fillId="8" borderId="1" applyAlignment="1" pivotButton="0" quotePrefix="0" xfId="0">
      <alignment horizontal="left" vertical="center"/>
    </xf>
    <xf numFmtId="3" fontId="0" fillId="8" borderId="1" applyAlignment="1" pivotButton="0" quotePrefix="0" xfId="0">
      <alignment horizontal="right" vertical="center"/>
    </xf>
    <xf numFmtId="164" fontId="0" fillId="9" borderId="1" applyAlignment="1" pivotButton="0" quotePrefix="0" xfId="0">
      <alignment horizontal="right" vertical="center"/>
    </xf>
    <xf numFmtId="0" fontId="5" fillId="8" borderId="1" applyAlignment="1" pivotButton="0" quotePrefix="0" xfId="0">
      <alignment horizontal="right" vertical="center"/>
    </xf>
    <xf numFmtId="0" fontId="10" fillId="10" borderId="1" applyAlignment="1" pivotButton="0" quotePrefix="0" xfId="0">
      <alignment horizontal="center" vertical="center"/>
    </xf>
    <xf numFmtId="0" fontId="5" fillId="11" borderId="1" applyAlignment="1" pivotButton="0" quotePrefix="0" xfId="0">
      <alignment horizontal="center" vertical="center"/>
    </xf>
    <xf numFmtId="0" fontId="5" fillId="11" borderId="1" applyAlignment="1" pivotButton="0" quotePrefix="0" xfId="0">
      <alignment horizontal="left" vertical="center"/>
    </xf>
    <xf numFmtId="3" fontId="0" fillId="11" borderId="1" applyAlignment="1" pivotButton="0" quotePrefix="0" xfId="0">
      <alignment horizontal="right" vertical="center"/>
    </xf>
    <xf numFmtId="0" fontId="5" fillId="11" borderId="1" applyAlignment="1" pivotButton="0" quotePrefix="0" xfId="0">
      <alignment horizontal="right" vertical="center"/>
    </xf>
    <xf numFmtId="164" fontId="0" fillId="10" borderId="1" applyAlignment="1" pivotButton="0" quotePrefix="0" xfId="0">
      <alignment horizontal="right" vertical="center"/>
    </xf>
    <xf numFmtId="164" fontId="0" fillId="8" borderId="1" applyAlignment="1" pivotButton="0" quotePrefix="0" xfId="0">
      <alignment horizontal="right" vertical="center"/>
    </xf>
    <xf numFmtId="0" fontId="8" fillId="12" borderId="0" applyAlignment="1" pivotButton="0" quotePrefix="0" xfId="0">
      <alignment horizontal="center" vertical="center"/>
    </xf>
    <xf numFmtId="0" fontId="9" fillId="12" borderId="1" applyAlignment="1" pivotButton="0" quotePrefix="0" xfId="0">
      <alignment horizontal="center" vertical="center"/>
    </xf>
    <xf numFmtId="165" fontId="5" fillId="8" borderId="1" applyAlignment="1" pivotButton="0" quotePrefix="0" xfId="0">
      <alignment horizontal="center" vertical="center"/>
    </xf>
    <xf numFmtId="3" fontId="5" fillId="8" borderId="1" applyAlignment="1" pivotButton="0" quotePrefix="0" xfId="0">
      <alignment horizontal="right" vertical="center"/>
    </xf>
    <xf numFmtId="1" fontId="5" fillId="8" borderId="1" applyAlignment="1" pivotButton="0" quotePrefix="0" xfId="0">
      <alignment horizontal="center" vertical="center"/>
    </xf>
    <xf numFmtId="165" fontId="5" fillId="11" borderId="1" applyAlignment="1" pivotButton="0" quotePrefix="0" xfId="0">
      <alignment horizontal="center" vertical="center"/>
    </xf>
    <xf numFmtId="3" fontId="5" fillId="11" borderId="1" applyAlignment="1" pivotButton="0" quotePrefix="0" xfId="0">
      <alignment horizontal="right" vertical="center"/>
    </xf>
    <xf numFmtId="0" fontId="11" fillId="13" borderId="1" applyAlignment="1" pivotButton="0" quotePrefix="0" xfId="0">
      <alignment horizontal="center" vertical="center"/>
    </xf>
    <xf numFmtId="1" fontId="5" fillId="11" borderId="1" applyAlignment="1" pivotButton="0" quotePrefix="0" xfId="0">
      <alignment horizontal="center" vertical="center"/>
    </xf>
    <xf numFmtId="0" fontId="12" fillId="14" borderId="1" applyAlignment="1" pivotButton="0" quotePrefix="0" xfId="0">
      <alignment horizontal="center" vertical="center"/>
    </xf>
    <xf numFmtId="0" fontId="13" fillId="15" borderId="1" applyAlignment="1" pivotButton="0" quotePrefix="0" xfId="0">
      <alignment horizontal="center" vertical="center"/>
    </xf>
    <xf numFmtId="0" fontId="8" fillId="16" borderId="0" applyAlignment="1" pivotButton="0" quotePrefix="0" xfId="0">
      <alignment horizontal="center" vertical="center"/>
    </xf>
    <xf numFmtId="0" fontId="9" fillId="16" borderId="1" applyAlignment="1" pivotButton="0" quotePrefix="0" xfId="0">
      <alignment horizontal="center" vertical="center"/>
    </xf>
    <xf numFmtId="0" fontId="14" fillId="17" borderId="1" applyAlignment="1" pivotButton="0" quotePrefix="0" xfId="0">
      <alignment horizontal="center" vertical="center"/>
    </xf>
    <xf numFmtId="0" fontId="15" fillId="9" borderId="1" applyAlignment="1" pivotButton="0" quotePrefix="0" xfId="0">
      <alignment horizontal="center" vertical="center"/>
    </xf>
    <xf numFmtId="0" fontId="16" fillId="18" borderId="1" applyAlignment="1" pivotButton="0" quotePrefix="0" xfId="0">
      <alignment horizontal="center" vertical="center"/>
    </xf>
    <xf numFmtId="0" fontId="8" fillId="19" borderId="0" applyAlignment="1" pivotButton="0" quotePrefix="0" xfId="0">
      <alignment horizontal="center" vertical="center"/>
    </xf>
    <xf numFmtId="0" fontId="9" fillId="19" borderId="1" applyAlignment="1" pivotButton="0" quotePrefix="0" xfId="0">
      <alignment horizontal="center" vertical="center"/>
    </xf>
    <xf numFmtId="0" fontId="0" fillId="0" borderId="5" pivotButton="0" quotePrefix="0" xfId="0"/>
    <xf numFmtId="0" fontId="0" fillId="0" borderId="6" pivotButton="0" quotePrefix="0" xfId="0"/>
    <xf numFmtId="164" fontId="0" fillId="9" borderId="1" applyAlignment="1" pivotButton="0" quotePrefix="0" xfId="0">
      <alignment horizontal="right" vertical="center"/>
    </xf>
    <xf numFmtId="164" fontId="0" fillId="10" borderId="1" applyAlignment="1" pivotButton="0" quotePrefix="0" xfId="0">
      <alignment horizontal="right" vertical="center"/>
    </xf>
    <xf numFmtId="164" fontId="0" fillId="8" borderId="1" applyAlignment="1" pivotButton="0" quotePrefix="0" xfId="0">
      <alignment horizontal="right" vertical="center"/>
    </xf>
    <xf numFmtId="165" fontId="5" fillId="8" borderId="1" applyAlignment="1" pivotButton="0" quotePrefix="0" xfId="0">
      <alignment horizontal="center" vertical="center"/>
    </xf>
    <xf numFmtId="165" fontId="5" fillId="11" borderId="1" applyAlignment="1" pivotButton="0" quotePrefix="0" xfId="0">
      <alignment horizontal="center" vertical="center"/>
    </xf>
    <xf numFmtId="0" fontId="8" fillId="20" borderId="0" applyAlignment="1" pivotButton="0" quotePrefix="0" xfId="0">
      <alignment horizontal="center" vertical="center"/>
    </xf>
    <xf numFmtId="0" fontId="9" fillId="20" borderId="1" applyAlignment="1" pivotButton="0" quotePrefix="0" xfId="0">
      <alignment horizontal="center" vertical="center"/>
    </xf>
    <xf numFmtId="0" fontId="5" fillId="8" borderId="1" applyAlignment="1" pivotButton="0" quotePrefix="0" xfId="0">
      <alignment horizontal="center" vertical="center"/>
    </xf>
    <xf numFmtId="165" fontId="5" fillId="8" borderId="1" applyAlignment="1" pivotButton="0" quotePrefix="0" xfId="0">
      <alignment horizontal="center" vertical="center"/>
    </xf>
    <xf numFmtId="0" fontId="5" fillId="8" borderId="1" applyAlignment="1" pivotButton="0" quotePrefix="0" xfId="0">
      <alignment horizontal="left" vertical="center"/>
    </xf>
    <xf numFmtId="0" fontId="10" fillId="10" borderId="1" applyAlignment="1" pivotButton="0" quotePrefix="0" xfId="0">
      <alignment horizontal="center" vertical="center"/>
    </xf>
    <xf numFmtId="3" fontId="5" fillId="8" borderId="1" applyAlignment="1" pivotButton="0" quotePrefix="0" xfId="0">
      <alignment horizontal="right" vertical="center"/>
    </xf>
    <xf numFmtId="164" fontId="5" fillId="8" borderId="1" applyAlignment="1" pivotButton="0" quotePrefix="0" xfId="0">
      <alignment horizontal="right" vertical="center"/>
    </xf>
    <xf numFmtId="0" fontId="5" fillId="11" borderId="1" applyAlignment="1" pivotButton="0" quotePrefix="0" xfId="0">
      <alignment horizontal="center" vertical="center"/>
    </xf>
    <xf numFmtId="165" fontId="5" fillId="11" borderId="1" applyAlignment="1" pivotButton="0" quotePrefix="0" xfId="0">
      <alignment horizontal="center" vertical="center"/>
    </xf>
    <xf numFmtId="0" fontId="5" fillId="11" borderId="1" applyAlignment="1" pivotButton="0" quotePrefix="0" xfId="0">
      <alignment horizontal="left" vertical="center"/>
    </xf>
    <xf numFmtId="3" fontId="5" fillId="11" borderId="1" applyAlignment="1" pivotButton="0" quotePrefix="0" xfId="0">
      <alignment horizontal="right" vertical="center"/>
    </xf>
    <xf numFmtId="164" fontId="5" fillId="11" borderId="1" applyAlignment="1" pivotButton="0" quotePrefix="0" xfId="0">
      <alignment horizontal="right" vertical="center"/>
    </xf>
    <xf numFmtId="0" fontId="15" fillId="9" borderId="1" applyAlignment="1" pivotButton="0" quotePrefix="0" xfId="0">
      <alignment horizontal="center" vertical="center"/>
    </xf>
    <xf numFmtId="0" fontId="8" fillId="7" borderId="0" applyAlignment="1" pivotButton="0" quotePrefix="0" xfId="0">
      <alignment horizontal="center" vertical="center"/>
    </xf>
    <xf numFmtId="0" fontId="9" fillId="7" borderId="1" applyAlignment="1" pivotButton="0" quotePrefix="0" xfId="0">
      <alignment horizontal="center" vertical="center"/>
    </xf>
    <xf numFmtId="0" fontId="8" fillId="21" borderId="0" applyAlignment="1" pivotButton="0" quotePrefix="0" xfId="0">
      <alignment horizontal="center" vertical="center"/>
    </xf>
    <xf numFmtId="0" fontId="9" fillId="21" borderId="1" applyAlignment="1" pivotButton="0" quotePrefix="0" xfId="0">
      <alignment horizontal="center" vertical="center"/>
    </xf>
    <xf numFmtId="0" fontId="5" fillId="22" borderId="1" applyAlignment="1" pivotButton="0" quotePrefix="0" xfId="0">
      <alignment horizontal="center" vertical="center"/>
    </xf>
    <xf numFmtId="165" fontId="5" fillId="22" borderId="1" applyAlignment="1" pivotButton="0" quotePrefix="0" xfId="0">
      <alignment horizontal="center" vertical="center"/>
    </xf>
    <xf numFmtId="0" fontId="5" fillId="22" borderId="1" applyAlignment="1" pivotButton="0" quotePrefix="0" xfId="0">
      <alignment horizontal="left" vertical="center"/>
    </xf>
    <xf numFmtId="3" fontId="5" fillId="22" borderId="1" applyAlignment="1" pivotButton="0" quotePrefix="0" xfId="0">
      <alignment horizontal="right" vertical="center"/>
    </xf>
    <xf numFmtId="0" fontId="5" fillId="18" borderId="1" applyAlignment="1" pivotButton="0" quotePrefix="0" xfId="0">
      <alignment horizontal="center" vertical="center"/>
    </xf>
    <xf numFmtId="165" fontId="5" fillId="18" borderId="1" applyAlignment="1" pivotButton="0" quotePrefix="0" xfId="0">
      <alignment horizontal="center" vertical="center"/>
    </xf>
    <xf numFmtId="0" fontId="5" fillId="18" borderId="1" applyAlignment="1" pivotButton="0" quotePrefix="0" xfId="0">
      <alignment horizontal="left" vertical="center"/>
    </xf>
    <xf numFmtId="3" fontId="5" fillId="18" borderId="1" applyAlignment="1" pivotButton="0" quotePrefix="0" xfId="0">
      <alignment horizontal="right" vertical="center"/>
    </xf>
    <xf numFmtId="0" fontId="5" fillId="23" borderId="1" applyAlignment="1" pivotButton="0" quotePrefix="0" xfId="0">
      <alignment horizontal="center" vertical="center"/>
    </xf>
    <xf numFmtId="165" fontId="5" fillId="23" borderId="1" applyAlignment="1" pivotButton="0" quotePrefix="0" xfId="0">
      <alignment horizontal="center" vertical="center"/>
    </xf>
    <xf numFmtId="0" fontId="5" fillId="23" borderId="1" applyAlignment="1" pivotButton="0" quotePrefix="0" xfId="0">
      <alignment horizontal="left" vertical="center"/>
    </xf>
    <xf numFmtId="3" fontId="5" fillId="23" borderId="1" applyAlignment="1" pivotButton="0" quotePrefix="0" xfId="0">
      <alignment horizontal="right" vertical="center"/>
    </xf>
    <xf numFmtId="0" fontId="5" fillId="17" borderId="1" applyAlignment="1" pivotButton="0" quotePrefix="0" xfId="0">
      <alignment horizontal="center" vertical="center"/>
    </xf>
    <xf numFmtId="165" fontId="5" fillId="17" borderId="1" applyAlignment="1" pivotButton="0" quotePrefix="0" xfId="0">
      <alignment horizontal="center" vertical="center"/>
    </xf>
    <xf numFmtId="0" fontId="5" fillId="17" borderId="1" applyAlignment="1" pivotButton="0" quotePrefix="0" xfId="0">
      <alignment horizontal="left" vertical="center"/>
    </xf>
    <xf numFmtId="3" fontId="5" fillId="17" borderId="1" applyAlignment="1" pivotButton="0" quotePrefix="0" xfId="0">
      <alignment horizontal="right" vertical="center"/>
    </xf>
    <xf numFmtId="0" fontId="5" fillId="24" borderId="1" applyAlignment="1" pivotButton="0" quotePrefix="0" xfId="0">
      <alignment horizontal="center" vertical="center"/>
    </xf>
    <xf numFmtId="165" fontId="5" fillId="24" borderId="1" applyAlignment="1" pivotButton="0" quotePrefix="0" xfId="0">
      <alignment horizontal="center" vertical="center"/>
    </xf>
    <xf numFmtId="0" fontId="5" fillId="24" borderId="1" applyAlignment="1" pivotButton="0" quotePrefix="0" xfId="0">
      <alignment horizontal="left" vertical="center"/>
    </xf>
    <xf numFmtId="3" fontId="5" fillId="24" borderId="1" applyAlignment="1" pivotButton="0" quotePrefix="0" xfId="0">
      <alignment horizontal="right" vertical="center"/>
    </xf>
    <xf numFmtId="0" fontId="5" fillId="25" borderId="1" applyAlignment="1" pivotButton="0" quotePrefix="0" xfId="0">
      <alignment horizontal="center" vertical="center"/>
    </xf>
    <xf numFmtId="165" fontId="5" fillId="25" borderId="1" applyAlignment="1" pivotButton="0" quotePrefix="0" xfId="0">
      <alignment horizontal="center" vertical="center"/>
    </xf>
    <xf numFmtId="0" fontId="5" fillId="25" borderId="1" applyAlignment="1" pivotButton="0" quotePrefix="0" xfId="0">
      <alignment horizontal="left" vertical="center"/>
    </xf>
    <xf numFmtId="3" fontId="5" fillId="25" borderId="1" applyAlignment="1" pivotButton="0" quotePrefix="0" xfId="0">
      <alignment horizontal="right" vertical="center"/>
    </xf>
    <xf numFmtId="0" fontId="5" fillId="26" borderId="1" applyAlignment="1" pivotButton="0" quotePrefix="0" xfId="0">
      <alignment horizontal="center" vertical="center"/>
    </xf>
    <xf numFmtId="165" fontId="5" fillId="26" borderId="1" applyAlignment="1" pivotButton="0" quotePrefix="0" xfId="0">
      <alignment horizontal="center" vertical="center"/>
    </xf>
    <xf numFmtId="0" fontId="5" fillId="26" borderId="1" applyAlignment="1" pivotButton="0" quotePrefix="0" xfId="0">
      <alignment horizontal="left" vertical="center"/>
    </xf>
    <xf numFmtId="3" fontId="5" fillId="26" borderId="1" applyAlignment="1" pivotButton="0" quotePrefix="0" xfId="0">
      <alignment horizontal="right" vertical="center"/>
    </xf>
    <xf numFmtId="0" fontId="5" fillId="27" borderId="1" applyAlignment="1" pivotButton="0" quotePrefix="0" xfId="0">
      <alignment horizontal="center" vertical="center"/>
    </xf>
    <xf numFmtId="165" fontId="5" fillId="27" borderId="1" applyAlignment="1" pivotButton="0" quotePrefix="0" xfId="0">
      <alignment horizontal="center" vertical="center"/>
    </xf>
    <xf numFmtId="0" fontId="5" fillId="27" borderId="1" applyAlignment="1" pivotButton="0" quotePrefix="0" xfId="0">
      <alignment horizontal="left" vertical="center"/>
    </xf>
    <xf numFmtId="3" fontId="5" fillId="27" borderId="1" applyAlignment="1" pivotButton="0" quotePrefix="0" xfId="0">
      <alignment horizontal="right" vertical="center"/>
    </xf>
    <xf numFmtId="2" fontId="5" fillId="8" borderId="1" applyAlignment="1" pivotButton="0" quotePrefix="0" xfId="0">
      <alignment horizontal="right" vertical="center"/>
    </xf>
    <xf numFmtId="2" fontId="5" fillId="9" borderId="1" applyAlignment="1" pivotButton="0" quotePrefix="0" xfId="0">
      <alignment horizontal="right" vertical="center"/>
    </xf>
    <xf numFmtId="2" fontId="5" fillId="11" borderId="1" applyAlignment="1" pivotButton="0" quotePrefix="0" xfId="0">
      <alignment horizontal="right" vertical="center"/>
    </xf>
    <xf numFmtId="2" fontId="5" fillId="10" borderId="1" applyAlignment="1" pivotButton="0" quotePrefix="0" xfId="0">
      <alignment horizontal="right" vertical="center"/>
    </xf>
    <xf numFmtId="0" fontId="8" fillId="28" borderId="0" applyAlignment="1" pivotButton="0" quotePrefix="0" xfId="0">
      <alignment horizontal="center" vertical="center"/>
    </xf>
    <xf numFmtId="0" fontId="9" fillId="28" borderId="1" applyAlignment="1" pivotButton="0" quotePrefix="0" xfId="0">
      <alignment horizontal="center" vertical="center"/>
    </xf>
    <xf numFmtId="0" fontId="11" fillId="13" borderId="1" applyAlignment="1" pivotButton="0" quotePrefix="0" xfId="0">
      <alignment horizontal="center" vertical="center"/>
    </xf>
    <xf numFmtId="0" fontId="8" fillId="29" borderId="0" applyAlignment="1" pivotButton="0" quotePrefix="0" xfId="0">
      <alignment horizontal="center" vertical="center"/>
    </xf>
    <xf numFmtId="0" fontId="9" fillId="29" borderId="1" applyAlignment="1" pivotButton="0" quotePrefix="0" xfId="0">
      <alignment horizontal="center" vertical="center"/>
    </xf>
    <xf numFmtId="0" fontId="10" fillId="22" borderId="1" applyAlignment="1" pivotButton="0" quotePrefix="0" xfId="0">
      <alignment horizontal="center" vertical="center"/>
    </xf>
    <xf numFmtId="0" fontId="13" fillId="15" borderId="1" applyAlignment="1" pivotButton="0" quotePrefix="0" xfId="0">
      <alignment horizontal="center" vertical="center"/>
    </xf>
    <xf numFmtId="0" fontId="8" fillId="30" borderId="0" applyAlignment="1" pivotButton="0" quotePrefix="0" xfId="0">
      <alignment horizontal="center" vertical="center"/>
    </xf>
    <xf numFmtId="0" fontId="9" fillId="30" borderId="1" applyAlignment="1" pivotButton="0" quotePrefix="0" xfId="0">
      <alignment horizontal="center" vertical="center"/>
    </xf>
    <xf numFmtId="0" fontId="5" fillId="8" borderId="1" applyAlignment="1" pivotButton="0" quotePrefix="0" xfId="0">
      <alignment horizontal="left" vertical="center" wrapText="1"/>
    </xf>
    <xf numFmtId="0" fontId="5" fillId="11" borderId="1" applyAlignment="1" pivotButton="0" quotePrefix="0" xfId="0">
      <alignment horizontal="left" vertical="center" wrapText="1"/>
    </xf>
    <xf numFmtId="0" fontId="8" fillId="31" borderId="0" applyAlignment="1" pivotButton="0" quotePrefix="0" xfId="0">
      <alignment horizontal="center" vertical="center"/>
    </xf>
    <xf numFmtId="0" fontId="2" fillId="4" borderId="0" applyAlignment="1" pivotButton="0" quotePrefix="0" xfId="0">
      <alignment horizontal="center" vertical="center"/>
    </xf>
    <xf numFmtId="0" fontId="9" fillId="31" borderId="1" applyAlignment="1" pivotButton="0" quotePrefix="0" xfId="0">
      <alignment horizontal="center" vertical="center"/>
    </xf>
    <xf numFmtId="0" fontId="17" fillId="18" borderId="1" applyAlignment="1" pivotButton="0" quotePrefix="0" xfId="0">
      <alignment horizontal="left" vertical="center"/>
    </xf>
    <xf numFmtId="3" fontId="18" fillId="18" borderId="2" applyAlignment="1" pivotButton="0" quotePrefix="0" xfId="0">
      <alignment horizontal="center" vertical="center"/>
    </xf>
    <xf numFmtId="166" fontId="0" fillId="18" borderId="1" applyAlignment="1" pivotButton="0" quotePrefix="0" xfId="0">
      <alignment horizontal="center" vertical="center"/>
    </xf>
    <xf numFmtId="0" fontId="19" fillId="18" borderId="1" applyAlignment="1" pivotButton="0" quotePrefix="0" xfId="0">
      <alignment horizontal="left" vertical="center"/>
    </xf>
    <xf numFmtId="0" fontId="20" fillId="9" borderId="1" applyAlignment="1" pivotButton="0" quotePrefix="0" xfId="0">
      <alignment horizontal="left" vertical="center"/>
    </xf>
    <xf numFmtId="3" fontId="21" fillId="9" borderId="2" applyAlignment="1" pivotButton="0" quotePrefix="0" xfId="0">
      <alignment horizontal="center" vertical="center"/>
    </xf>
    <xf numFmtId="166" fontId="0" fillId="9" borderId="1" applyAlignment="1" pivotButton="0" quotePrefix="0" xfId="0">
      <alignment horizontal="center" vertical="center"/>
    </xf>
    <xf numFmtId="0" fontId="19" fillId="9" borderId="1" applyAlignment="1" pivotButton="0" quotePrefix="0" xfId="0">
      <alignment horizontal="left" vertical="center"/>
    </xf>
    <xf numFmtId="0" fontId="22" fillId="14" borderId="1" applyAlignment="1" pivotButton="0" quotePrefix="0" xfId="0">
      <alignment horizontal="left" vertical="center"/>
    </xf>
    <xf numFmtId="3" fontId="23" fillId="14" borderId="2" applyAlignment="1" pivotButton="0" quotePrefix="0" xfId="0">
      <alignment horizontal="center" vertical="center"/>
    </xf>
    <xf numFmtId="166" fontId="0" fillId="14" borderId="1" applyAlignment="1" pivotButton="0" quotePrefix="0" xfId="0">
      <alignment horizontal="center" vertical="center"/>
    </xf>
    <xf numFmtId="0" fontId="19" fillId="14" borderId="1" applyAlignment="1" pivotButton="0" quotePrefix="0" xfId="0">
      <alignment horizontal="left" vertical="center"/>
    </xf>
    <xf numFmtId="0" fontId="24" fillId="10" borderId="1" applyAlignment="1" pivotButton="0" quotePrefix="0" xfId="0">
      <alignment horizontal="left" vertical="center"/>
    </xf>
    <xf numFmtId="3" fontId="25" fillId="10" borderId="2" applyAlignment="1" pivotButton="0" quotePrefix="0" xfId="0">
      <alignment horizontal="center" vertical="center"/>
    </xf>
    <xf numFmtId="166" fontId="0" fillId="10" borderId="1" applyAlignment="1" pivotButton="0" quotePrefix="0" xfId="0">
      <alignment horizontal="center" vertical="center"/>
    </xf>
    <xf numFmtId="0" fontId="19" fillId="10" borderId="1" applyAlignment="1" pivotButton="0" quotePrefix="0" xfId="0">
      <alignment horizontal="left" vertical="center"/>
    </xf>
    <xf numFmtId="0" fontId="26" fillId="17" borderId="1" applyAlignment="1" pivotButton="0" quotePrefix="0" xfId="0">
      <alignment horizontal="left" vertical="center"/>
    </xf>
    <xf numFmtId="3" fontId="27" fillId="17" borderId="2" applyAlignment="1" pivotButton="0" quotePrefix="0" xfId="0">
      <alignment horizontal="center" vertical="center"/>
    </xf>
    <xf numFmtId="166" fontId="0" fillId="17" borderId="1" applyAlignment="1" pivotButton="0" quotePrefix="0" xfId="0">
      <alignment horizontal="center" vertical="center"/>
    </xf>
    <xf numFmtId="0" fontId="0" fillId="17" borderId="1" applyAlignment="1" pivotButton="0" quotePrefix="0" xfId="0">
      <alignment horizontal="center" vertical="center"/>
    </xf>
    <xf numFmtId="0" fontId="19" fillId="17" borderId="1" applyAlignment="1" pivotButton="0" quotePrefix="0" xfId="0">
      <alignment horizontal="left" vertical="center"/>
    </xf>
    <xf numFmtId="0" fontId="28" fillId="3" borderId="1" applyAlignment="1" pivotButton="0" quotePrefix="0" xfId="0">
      <alignment horizontal="left" vertical="center"/>
    </xf>
    <xf numFmtId="0" fontId="29" fillId="3" borderId="0" applyAlignment="1" pivotButton="0" quotePrefix="0" xfId="0">
      <alignment horizontal="center" vertical="center"/>
    </xf>
    <xf numFmtId="0" fontId="8" fillId="32" borderId="0" applyAlignment="1" pivotButton="0" quotePrefix="0" xfId="0">
      <alignment horizontal="center" vertical="center"/>
    </xf>
    <xf numFmtId="0" fontId="9" fillId="32" borderId="1" applyAlignment="1" pivotButton="0" quotePrefix="0" xfId="0">
      <alignment horizontal="center" vertical="center"/>
    </xf>
    <xf numFmtId="0" fontId="9" fillId="33" borderId="1" applyAlignment="1" pivotButton="0" quotePrefix="0" xfId="0">
      <alignment horizontal="center" vertical="center"/>
    </xf>
    <xf numFmtId="0" fontId="9" fillId="2" borderId="1" applyAlignment="1" pivotButton="0" quotePrefix="0" xfId="0">
      <alignment horizontal="center" vertical="center"/>
    </xf>
    <xf numFmtId="0" fontId="3" fillId="32" borderId="1" applyAlignment="1" pivotButton="0" quotePrefix="0" xfId="0">
      <alignment horizontal="left" vertical="center"/>
    </xf>
    <xf numFmtId="0" fontId="30" fillId="34" borderId="1" applyAlignment="1" pivotButton="0" quotePrefix="0" xfId="0">
      <alignment horizontal="left" vertical="center"/>
    </xf>
    <xf numFmtId="3" fontId="30" fillId="34" borderId="1" applyAlignment="1" pivotButton="0" quotePrefix="0" xfId="0">
      <alignment horizontal="right" vertical="center"/>
    </xf>
    <xf numFmtId="3" fontId="31" fillId="34" borderId="2" applyAlignment="1" pivotButton="0" quotePrefix="0" xfId="0">
      <alignment horizontal="right" vertical="center"/>
    </xf>
    <xf numFmtId="0" fontId="31" fillId="35" borderId="1" applyAlignment="1" pivotButton="0" quotePrefix="0" xfId="0">
      <alignment horizontal="left" vertical="center"/>
    </xf>
    <xf numFmtId="3" fontId="31" fillId="35" borderId="1" applyAlignment="1" pivotButton="0" quotePrefix="0" xfId="0">
      <alignment horizontal="right" vertical="center"/>
    </xf>
    <xf numFmtId="0" fontId="32" fillId="36" borderId="1" applyAlignment="1" pivotButton="0" quotePrefix="0" xfId="0">
      <alignment horizontal="left" vertical="center"/>
    </xf>
    <xf numFmtId="3" fontId="32" fillId="36" borderId="1" applyAlignment="1" pivotButton="0" quotePrefix="0" xfId="0">
      <alignment horizontal="right" vertical="center"/>
    </xf>
    <xf numFmtId="3" fontId="13" fillId="36" borderId="2" applyAlignment="1" pivotButton="0" quotePrefix="0" xfId="0">
      <alignment horizontal="right" vertical="center"/>
    </xf>
    <xf numFmtId="0" fontId="10" fillId="22" borderId="1" applyAlignment="1" pivotButton="0" quotePrefix="0" xfId="0">
      <alignment horizontal="left" vertical="center"/>
    </xf>
    <xf numFmtId="3" fontId="10" fillId="22" borderId="1" applyAlignment="1" pivotButton="0" quotePrefix="0" xfId="0">
      <alignment horizontal="right" vertical="center"/>
    </xf>
    <xf numFmtId="0" fontId="33" fillId="22" borderId="1" applyAlignment="1" pivotButton="0" quotePrefix="0" xfId="0">
      <alignment horizontal="left" vertical="center"/>
    </xf>
    <xf numFmtId="167" fontId="33" fillId="22" borderId="1" applyAlignment="1" pivotButton="0" quotePrefix="0" xfId="0">
      <alignment horizontal="right" vertical="center"/>
    </xf>
    <xf numFmtId="0" fontId="34" fillId="37" borderId="1" applyAlignment="1" pivotButton="0" quotePrefix="0" xfId="0">
      <alignment horizontal="left" vertical="center"/>
    </xf>
    <xf numFmtId="3" fontId="34" fillId="37" borderId="1" applyAlignment="1" pivotButton="0" quotePrefix="0" xfId="0">
      <alignment horizontal="right" vertical="center"/>
    </xf>
    <xf numFmtId="3" fontId="12" fillId="37" borderId="2" applyAlignment="1" pivotButton="0" quotePrefix="0" xfId="0">
      <alignment horizontal="right" vertical="center"/>
    </xf>
    <xf numFmtId="0" fontId="35" fillId="38" borderId="1" applyAlignment="1" pivotButton="0" quotePrefix="0" xfId="0">
      <alignment horizontal="left" vertical="center"/>
    </xf>
    <xf numFmtId="3" fontId="35" fillId="38" borderId="1" applyAlignment="1" pivotButton="0" quotePrefix="0" xfId="0">
      <alignment horizontal="right" vertical="center"/>
    </xf>
    <xf numFmtId="3" fontId="38" fillId="22" borderId="2" applyAlignment="1" pivotButton="0" quotePrefix="0" xfId="0">
      <alignment horizontal="right" vertical="center"/>
    </xf>
    <xf numFmtId="3" fontId="33" fillId="22" borderId="1" applyAlignment="1" pivotButton="0" quotePrefix="0" xfId="0">
      <alignment horizontal="right" vertical="center"/>
    </xf>
    <xf numFmtId="3" fontId="10" fillId="22" borderId="2" applyAlignment="1" pivotButton="0" quotePrefix="0" xfId="0">
      <alignment horizontal="right" vertical="center"/>
    </xf>
    <xf numFmtId="0" fontId="10" fillId="10" borderId="1" applyAlignment="1" pivotButton="0" quotePrefix="0" xfId="0">
      <alignment horizontal="left" vertical="center"/>
    </xf>
    <xf numFmtId="3" fontId="39" fillId="10" borderId="2" applyAlignment="1" pivotButton="0" quotePrefix="0" xfId="0">
      <alignment horizontal="right" vertical="center"/>
    </xf>
    <xf numFmtId="0" fontId="36" fillId="39" borderId="1" applyAlignment="1" pivotButton="0" quotePrefix="0" xfId="0">
      <alignment horizontal="left" vertical="center"/>
    </xf>
    <xf numFmtId="167" fontId="37" fillId="39" borderId="1" applyAlignment="1" pivotButton="0" quotePrefix="0" xfId="0">
      <alignment horizontal="right" vertical="center"/>
    </xf>
    <xf numFmtId="0" fontId="40" fillId="2" borderId="0" applyAlignment="1" pivotButton="0" quotePrefix="0" xfId="0">
      <alignment horizontal="center" vertical="center"/>
    </xf>
    <xf numFmtId="0" fontId="2" fillId="3" borderId="0" applyAlignment="1" pivotButton="0" quotePrefix="0" xfId="0">
      <alignment horizontal="center" vertical="center"/>
    </xf>
    <xf numFmtId="0" fontId="41" fillId="3" borderId="1" applyAlignment="1" pivotButton="0" quotePrefix="0" xfId="0">
      <alignment horizontal="center" vertical="center"/>
    </xf>
    <xf numFmtId="3" fontId="40" fillId="7" borderId="2" applyAlignment="1" pivotButton="0" quotePrefix="0" xfId="0">
      <alignment horizontal="center" vertical="center"/>
    </xf>
    <xf numFmtId="3" fontId="40" fillId="20" borderId="2" applyAlignment="1" pivotButton="0" quotePrefix="0" xfId="0">
      <alignment horizontal="center" vertical="center"/>
    </xf>
    <xf numFmtId="3" fontId="40" fillId="12" borderId="2" applyAlignment="1" pivotButton="0" quotePrefix="0" xfId="0">
      <alignment horizontal="center" vertical="center"/>
    </xf>
    <xf numFmtId="3" fontId="40" fillId="31" borderId="2" applyAlignment="1" pivotButton="0" quotePrefix="0" xfId="0">
      <alignment horizontal="center" vertical="center"/>
    </xf>
    <xf numFmtId="164" fontId="40" fillId="29" borderId="2" applyAlignment="1" pivotButton="0" quotePrefix="0" xfId="0">
      <alignment horizontal="center" vertical="center"/>
    </xf>
    <xf numFmtId="3" fontId="40" fillId="40" borderId="2" applyAlignment="1" pivotButton="0" quotePrefix="0" xfId="0">
      <alignment horizontal="center" vertical="center"/>
    </xf>
    <xf numFmtId="3" fontId="40" fillId="41" borderId="2" applyAlignment="1" pivotButton="0" quotePrefix="0" xfId="0">
      <alignment horizontal="center" vertical="center"/>
    </xf>
    <xf numFmtId="3" fontId="40" fillId="42" borderId="2" applyAlignment="1" pivotButton="0" quotePrefix="0" xfId="0">
      <alignment horizontal="center" vertical="center"/>
    </xf>
    <xf numFmtId="3" fontId="40" fillId="2" borderId="2" applyAlignment="1" pivotButton="0" quotePrefix="0" xfId="0">
      <alignment horizontal="center" vertical="center"/>
    </xf>
    <xf numFmtId="3" fontId="40" fillId="16" borderId="2" applyAlignment="1" pivotButton="0" quotePrefix="0" xfId="0">
      <alignment horizontal="center" vertical="center"/>
    </xf>
    <xf numFmtId="3" fontId="40" fillId="30" borderId="2" applyAlignment="1" pivotButton="0" quotePrefix="0" xfId="0">
      <alignment horizontal="center" vertical="center"/>
    </xf>
    <xf numFmtId="164" fontId="42" fillId="43" borderId="2" applyAlignment="1" pivotButton="0" quotePrefix="0" xfId="0">
      <alignment horizontal="center" vertical="center"/>
    </xf>
    <xf numFmtId="164" fontId="40" fillId="42" borderId="2" applyAlignment="1" pivotButton="0" quotePrefix="0" xfId="0">
      <alignment horizontal="center" vertical="center"/>
    </xf>
    <xf numFmtId="164" fontId="40" fillId="7" borderId="2" applyAlignment="1" pivotButton="0" quotePrefix="0" xfId="0">
      <alignment horizontal="center" vertical="center"/>
    </xf>
    <xf numFmtId="0" fontId="43" fillId="4" borderId="1" applyAlignment="1" pivotButton="0" quotePrefix="0" xfId="0">
      <alignment horizontal="center" vertical="center"/>
    </xf>
    <xf numFmtId="0" fontId="44" fillId="34" borderId="1" applyAlignment="1" pivotButton="0" quotePrefix="0" xfId="0">
      <alignment horizontal="left" vertical="top" wrapText="1"/>
    </xf>
    <xf numFmtId="0" fontId="5" fillId="11" borderId="1" applyAlignment="1" pivotButton="0" quotePrefix="0" xfId="0">
      <alignment horizontal="left" vertical="center"/>
    </xf>
    <xf numFmtId="3" fontId="5" fillId="11" borderId="1" applyAlignment="1" pivotButton="0" quotePrefix="0" xfId="0">
      <alignment horizontal="right" vertical="center"/>
    </xf>
    <xf numFmtId="0" fontId="5" fillId="11" borderId="1" pivotButton="0" quotePrefix="0" xfId="0"/>
    <xf numFmtId="0" fontId="1" fillId="7" borderId="0" applyAlignment="1" pivotButton="0" quotePrefix="0" xfId="0">
      <alignment horizontal="center" vertical="center"/>
    </xf>
    <xf numFmtId="0" fontId="9" fillId="7" borderId="1" applyAlignment="1" pivotButton="0" quotePrefix="0" xfId="0">
      <alignment horizontal="center" vertical="center"/>
    </xf>
    <xf numFmtId="0" fontId="45" fillId="18" borderId="1" applyAlignment="1" pivotButton="0" quotePrefix="0" xfId="0">
      <alignment horizontal="left" vertical="top" wrapText="1"/>
    </xf>
    <xf numFmtId="0" fontId="1" fillId="12" borderId="0" applyAlignment="1" pivotButton="0" quotePrefix="0" xfId="0">
      <alignment horizontal="center" vertical="center"/>
    </xf>
    <xf numFmtId="0" fontId="9" fillId="12" borderId="1" applyAlignment="1" pivotButton="0" quotePrefix="0" xfId="0">
      <alignment horizontal="center" vertical="center"/>
    </xf>
    <xf numFmtId="0" fontId="45" fillId="22" borderId="1" applyAlignment="1" pivotButton="0" quotePrefix="0" xfId="0">
      <alignment horizontal="left" vertical="top" wrapText="1"/>
    </xf>
    <xf numFmtId="0" fontId="1" fillId="28" borderId="0" applyAlignment="1" pivotButton="0" quotePrefix="0" xfId="0">
      <alignment horizontal="center" vertical="center"/>
    </xf>
    <xf numFmtId="0" fontId="9" fillId="28" borderId="1" applyAlignment="1" pivotButton="0" quotePrefix="0" xfId="0">
      <alignment horizontal="center" vertical="center"/>
    </xf>
    <xf numFmtId="0" fontId="45" fillId="25" borderId="1" applyAlignment="1" pivotButton="0" quotePrefix="0" xfId="0">
      <alignment horizontal="left" vertical="top" wrapText="1"/>
    </xf>
    <xf numFmtId="0" fontId="1" fillId="30" borderId="0" applyAlignment="1" pivotButton="0" quotePrefix="0" xfId="0">
      <alignment horizontal="center" vertical="center"/>
    </xf>
    <xf numFmtId="0" fontId="9" fillId="30" borderId="1" applyAlignment="1" pivotButton="0" quotePrefix="0" xfId="0">
      <alignment horizontal="center" vertical="center"/>
    </xf>
    <xf numFmtId="0" fontId="45" fillId="37" borderId="1" applyAlignment="1" pivotButton="0" quotePrefix="0" xfId="0">
      <alignment horizontal="left" vertical="top" wrapText="1"/>
    </xf>
    <xf numFmtId="0" fontId="1" fillId="2" borderId="0" applyAlignment="1" pivotButton="0" quotePrefix="0" xfId="0">
      <alignment horizontal="center" vertical="center"/>
    </xf>
    <xf numFmtId="0" fontId="45" fillId="36" borderId="1" applyAlignment="1" pivotButton="0" quotePrefix="0" xfId="0">
      <alignment horizontal="left" vertical="top" wrapText="1"/>
    </xf>
    <xf numFmtId="0" fontId="8" fillId="7" borderId="0" applyAlignment="1" pivotButton="0" quotePrefix="0" xfId="0">
      <alignment horizontal="center" vertical="center"/>
    </xf>
    <xf numFmtId="0" fontId="46" fillId="3" borderId="0" applyAlignment="1" pivotButton="0" quotePrefix="0" xfId="0">
      <alignment horizontal="center" vertical="center"/>
    </xf>
    <xf numFmtId="0" fontId="43" fillId="7" borderId="1" applyAlignment="1" pivotButton="0" quotePrefix="0" xfId="0">
      <alignment horizontal="center" vertical="center"/>
    </xf>
    <xf numFmtId="0" fontId="3" fillId="44" borderId="1" applyAlignment="1" pivotButton="0" quotePrefix="0" xfId="0">
      <alignment horizontal="left" vertical="center"/>
    </xf>
    <xf numFmtId="0" fontId="47" fillId="8" borderId="1" applyAlignment="1" pivotButton="0" quotePrefix="0" xfId="0">
      <alignment horizontal="center" vertical="center"/>
    </xf>
    <xf numFmtId="0" fontId="47" fillId="8" borderId="1" applyAlignment="1" pivotButton="0" quotePrefix="0" xfId="0">
      <alignment horizontal="left" vertical="center"/>
    </xf>
    <xf numFmtId="0" fontId="48" fillId="22" borderId="1" applyAlignment="1" pivotButton="0" quotePrefix="0" xfId="0">
      <alignment horizontal="center" vertical="center"/>
    </xf>
    <xf numFmtId="0" fontId="49" fillId="10" borderId="1" applyAlignment="1" pivotButton="0" quotePrefix="0" xfId="0">
      <alignment horizontal="center" vertical="center"/>
    </xf>
    <xf numFmtId="3" fontId="50" fillId="6" borderId="1" applyAlignment="1" pivotButton="0" quotePrefix="0" xfId="0">
      <alignment horizontal="right" vertical="center"/>
    </xf>
    <xf numFmtId="3" fontId="12" fillId="37" borderId="1" applyAlignment="1" pivotButton="0" quotePrefix="0" xfId="0">
      <alignment horizontal="right" vertical="center"/>
    </xf>
    <xf numFmtId="3" fontId="38" fillId="22" borderId="1" applyAlignment="1" pivotButton="0" quotePrefix="0" xfId="0">
      <alignment horizontal="right" vertical="center"/>
    </xf>
    <xf numFmtId="3" fontId="49" fillId="8" borderId="1" applyAlignment="1" pivotButton="0" quotePrefix="0" xfId="0">
      <alignment horizontal="right" vertical="center"/>
    </xf>
    <xf numFmtId="3" fontId="51" fillId="22" borderId="1" applyAlignment="1" pivotButton="0" quotePrefix="0" xfId="0">
      <alignment horizontal="right" vertical="center"/>
    </xf>
    <xf numFmtId="164" fontId="47" fillId="22" borderId="1" applyAlignment="1" pivotButton="0" quotePrefix="0" xfId="0">
      <alignment horizontal="right" vertical="center"/>
    </xf>
    <xf numFmtId="0" fontId="48" fillId="10" borderId="1" applyAlignment="1" pivotButton="0" quotePrefix="0" xfId="0">
      <alignment horizontal="center" vertical="center"/>
    </xf>
    <xf numFmtId="0" fontId="47" fillId="45" borderId="1" applyAlignment="1" pivotButton="0" quotePrefix="0" xfId="0">
      <alignment horizontal="center" vertical="center"/>
    </xf>
    <xf numFmtId="0" fontId="47" fillId="45" borderId="1" applyAlignment="1" pivotButton="0" quotePrefix="0" xfId="0">
      <alignment horizontal="left" vertical="center"/>
    </xf>
    <xf numFmtId="0" fontId="52" fillId="24" borderId="1" applyAlignment="1" pivotButton="0" quotePrefix="0" xfId="0">
      <alignment horizontal="center" vertical="center"/>
    </xf>
    <xf numFmtId="3" fontId="49" fillId="45" borderId="1" applyAlignment="1" pivotButton="0" quotePrefix="0" xfId="0">
      <alignment horizontal="right" vertical="center"/>
    </xf>
    <xf numFmtId="0" fontId="53" fillId="18" borderId="1" applyAlignment="1" pivotButton="0" quotePrefix="0" xfId="0">
      <alignment horizontal="center" vertical="center"/>
    </xf>
    <xf numFmtId="0" fontId="47" fillId="46" borderId="1" applyAlignment="1" pivotButton="0" quotePrefix="0" xfId="0">
      <alignment horizontal="center" vertical="center"/>
    </xf>
    <xf numFmtId="0" fontId="47" fillId="46" borderId="1" applyAlignment="1" pivotButton="0" quotePrefix="0" xfId="0">
      <alignment horizontal="left" vertical="center"/>
    </xf>
    <xf numFmtId="0" fontId="49" fillId="13" borderId="1" applyAlignment="1" pivotButton="0" quotePrefix="0" xfId="0">
      <alignment horizontal="center" vertical="center"/>
    </xf>
    <xf numFmtId="3" fontId="49" fillId="46" borderId="1" applyAlignment="1" pivotButton="0" quotePrefix="0" xfId="0">
      <alignment horizontal="right" vertical="center"/>
    </xf>
    <xf numFmtId="0" fontId="47" fillId="47" borderId="1" applyAlignment="1" pivotButton="0" quotePrefix="0" xfId="0">
      <alignment horizontal="center" vertical="center"/>
    </xf>
    <xf numFmtId="0" fontId="47" fillId="47" borderId="1" applyAlignment="1" pivotButton="0" quotePrefix="0" xfId="0">
      <alignment horizontal="left" vertical="center"/>
    </xf>
    <xf numFmtId="3" fontId="49" fillId="47" borderId="1" applyAlignment="1" pivotButton="0" quotePrefix="0" xfId="0">
      <alignment horizontal="right" vertical="center"/>
    </xf>
    <xf numFmtId="0" fontId="54" fillId="15" borderId="1" applyAlignment="1" pivotButton="0" quotePrefix="0" xfId="0">
      <alignment horizontal="center" vertical="center"/>
    </xf>
    <xf numFmtId="0" fontId="55" fillId="27" borderId="1" applyAlignment="1" pivotButton="0" quotePrefix="0" xfId="0">
      <alignment horizontal="center" vertical="center"/>
    </xf>
    <xf numFmtId="0" fontId="8" fillId="29" borderId="0" applyAlignment="1" pivotButton="0" quotePrefix="0" xfId="0">
      <alignment horizontal="center" vertical="center"/>
    </xf>
    <xf numFmtId="0" fontId="9" fillId="29" borderId="1" applyAlignment="1" pivotButton="0" quotePrefix="0" xfId="0">
      <alignment horizontal="center" vertical="center"/>
    </xf>
    <xf numFmtId="3" fontId="10" fillId="22" borderId="1" applyAlignment="1" pivotButton="0" quotePrefix="0" xfId="0">
      <alignment horizontal="right" vertical="center"/>
    </xf>
    <xf numFmtId="3" fontId="5" fillId="6" borderId="1" applyAlignment="1" pivotButton="0" quotePrefix="0" xfId="0">
      <alignment horizontal="right" vertical="center"/>
    </xf>
    <xf numFmtId="3" fontId="19" fillId="6" borderId="1" applyAlignment="1" pivotButton="0" quotePrefix="0" xfId="0">
      <alignment horizontal="right" vertical="center"/>
    </xf>
    <xf numFmtId="3" fontId="47" fillId="45" borderId="1" applyAlignment="1" pivotButton="0" quotePrefix="0" xfId="0">
      <alignment horizontal="right" vertical="center"/>
    </xf>
    <xf numFmtId="3" fontId="47" fillId="8" borderId="1" applyAlignment="1" pivotButton="0" quotePrefix="0" xfId="0">
      <alignment horizontal="right"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8" fillId="7" borderId="0" applyAlignment="1" pivotButton="0" quotePrefix="0" xfId="0">
      <alignment horizontal="center" vertical="center"/>
    </xf>
    <xf numFmtId="0" fontId="46" fillId="3" borderId="0" applyAlignment="1" pivotButton="0" quotePrefix="0" xfId="0">
      <alignment horizontal="center" vertical="center"/>
    </xf>
    <xf numFmtId="0" fontId="43" fillId="7" borderId="1" applyAlignment="1" pivotButton="0" quotePrefix="0" xfId="0">
      <alignment horizontal="center" vertical="center"/>
    </xf>
    <xf numFmtId="0" fontId="3" fillId="44" borderId="1" applyAlignment="1" pivotButton="0" quotePrefix="0" xfId="0">
      <alignment horizontal="left" vertical="center"/>
    </xf>
    <xf numFmtId="0" fontId="47" fillId="8" borderId="1" applyAlignment="1" pivotButton="0" quotePrefix="0" xfId="0">
      <alignment horizontal="center" vertical="center"/>
    </xf>
    <xf numFmtId="0" fontId="47" fillId="8" borderId="1" applyAlignment="1" pivotButton="0" quotePrefix="0" xfId="0">
      <alignment horizontal="left" vertical="center"/>
    </xf>
    <xf numFmtId="0" fontId="48" fillId="22" borderId="1" applyAlignment="1" pivotButton="0" quotePrefix="0" xfId="0">
      <alignment horizontal="center" vertical="center"/>
    </xf>
    <xf numFmtId="0" fontId="49" fillId="10" borderId="1" applyAlignment="1" pivotButton="0" quotePrefix="0" xfId="0">
      <alignment horizontal="center" vertical="center"/>
    </xf>
    <xf numFmtId="3" fontId="50" fillId="6" borderId="1" applyAlignment="1" pivotButton="0" quotePrefix="0" xfId="0">
      <alignment horizontal="right" vertical="center"/>
    </xf>
    <xf numFmtId="3" fontId="12" fillId="37" borderId="1" applyAlignment="1" pivotButton="0" quotePrefix="0" xfId="0">
      <alignment horizontal="right" vertical="center"/>
    </xf>
    <xf numFmtId="3" fontId="38" fillId="22" borderId="1" applyAlignment="1" pivotButton="0" quotePrefix="0" xfId="0">
      <alignment horizontal="right" vertical="center"/>
    </xf>
    <xf numFmtId="3" fontId="49" fillId="8" borderId="1" applyAlignment="1" pivotButton="0" quotePrefix="0" xfId="0">
      <alignment horizontal="right" vertical="center"/>
    </xf>
    <xf numFmtId="3" fontId="51" fillId="22" borderId="1" applyAlignment="1" pivotButton="0" quotePrefix="0" xfId="0">
      <alignment horizontal="right" vertical="center"/>
    </xf>
    <xf numFmtId="164" fontId="47" fillId="22" borderId="1" applyAlignment="1" pivotButton="0" quotePrefix="0" xfId="0">
      <alignment horizontal="right" vertical="center"/>
    </xf>
    <xf numFmtId="0" fontId="48" fillId="10" borderId="1" applyAlignment="1" pivotButton="0" quotePrefix="0" xfId="0">
      <alignment horizontal="center" vertical="center"/>
    </xf>
    <xf numFmtId="0" fontId="47" fillId="45" borderId="1" applyAlignment="1" pivotButton="0" quotePrefix="0" xfId="0">
      <alignment horizontal="center" vertical="center"/>
    </xf>
    <xf numFmtId="0" fontId="47" fillId="45" borderId="1" applyAlignment="1" pivotButton="0" quotePrefix="0" xfId="0">
      <alignment horizontal="left" vertical="center"/>
    </xf>
    <xf numFmtId="0" fontId="52" fillId="24" borderId="1" applyAlignment="1" pivotButton="0" quotePrefix="0" xfId="0">
      <alignment horizontal="center" vertical="center"/>
    </xf>
    <xf numFmtId="3" fontId="49" fillId="45" borderId="1" applyAlignment="1" pivotButton="0" quotePrefix="0" xfId="0">
      <alignment horizontal="right" vertical="center"/>
    </xf>
    <xf numFmtId="0" fontId="53" fillId="18" borderId="1" applyAlignment="1" pivotButton="0" quotePrefix="0" xfId="0">
      <alignment horizontal="center" vertical="center"/>
    </xf>
    <xf numFmtId="0" fontId="47" fillId="46" borderId="1" applyAlignment="1" pivotButton="0" quotePrefix="0" xfId="0">
      <alignment horizontal="center" vertical="center"/>
    </xf>
    <xf numFmtId="0" fontId="47" fillId="46" borderId="1" applyAlignment="1" pivotButton="0" quotePrefix="0" xfId="0">
      <alignment horizontal="left" vertical="center"/>
    </xf>
    <xf numFmtId="0" fontId="49" fillId="13" borderId="1" applyAlignment="1" pivotButton="0" quotePrefix="0" xfId="0">
      <alignment horizontal="center" vertical="center"/>
    </xf>
    <xf numFmtId="3" fontId="49" fillId="46" borderId="1" applyAlignment="1" pivotButton="0" quotePrefix="0" xfId="0">
      <alignment horizontal="right" vertical="center"/>
    </xf>
    <xf numFmtId="0" fontId="47" fillId="47" borderId="1" applyAlignment="1" pivotButton="0" quotePrefix="0" xfId="0">
      <alignment horizontal="center" vertical="center"/>
    </xf>
    <xf numFmtId="0" fontId="47" fillId="47" borderId="1" applyAlignment="1" pivotButton="0" quotePrefix="0" xfId="0">
      <alignment horizontal="left" vertical="center"/>
    </xf>
    <xf numFmtId="3" fontId="49" fillId="47" borderId="1" applyAlignment="1" pivotButton="0" quotePrefix="0" xfId="0">
      <alignment horizontal="right" vertical="center"/>
    </xf>
    <xf numFmtId="0" fontId="54" fillId="15" borderId="1" applyAlignment="1" pivotButton="0" quotePrefix="0" xfId="0">
      <alignment horizontal="center" vertical="center"/>
    </xf>
    <xf numFmtId="0" fontId="55" fillId="27" borderId="1" applyAlignment="1" pivotButton="0" quotePrefix="0" xfId="0">
      <alignment horizontal="center" vertical="center"/>
    </xf>
    <xf numFmtId="0" fontId="8" fillId="29" borderId="0" applyAlignment="1" pivotButton="0" quotePrefix="0" xfId="0">
      <alignment horizontal="center" vertical="center"/>
    </xf>
    <xf numFmtId="0" fontId="9" fillId="29" borderId="1" applyAlignment="1" pivotButton="0" quotePrefix="0" xfId="0">
      <alignment horizontal="center" vertical="center"/>
    </xf>
    <xf numFmtId="3" fontId="10" fillId="22" borderId="1" applyAlignment="1" pivotButton="0" quotePrefix="0" xfId="0">
      <alignment horizontal="right" vertical="center"/>
    </xf>
    <xf numFmtId="3" fontId="5" fillId="6" borderId="1" applyAlignment="1" pivotButton="0" quotePrefix="0" xfId="0">
      <alignment horizontal="right" vertical="center"/>
    </xf>
    <xf numFmtId="3" fontId="19" fillId="6" borderId="1" applyAlignment="1" pivotButton="0" quotePrefix="0" xfId="0">
      <alignment horizontal="right" vertical="center"/>
    </xf>
    <xf numFmtId="3" fontId="47" fillId="45" borderId="1" applyAlignment="1" pivotButton="0" quotePrefix="0" xfId="0">
      <alignment horizontal="right" vertical="center"/>
    </xf>
    <xf numFmtId="3" fontId="47" fillId="8" borderId="1" applyAlignment="1" pivotButton="0" quotePrefix="0" xfId="0">
      <alignment horizontal="right" vertical="center"/>
    </xf>
    <xf numFmtId="0" fontId="8" fillId="7" borderId="0" applyAlignment="1" pivotButton="0" quotePrefix="0" xfId="0">
      <alignment horizontal="center" vertical="center"/>
    </xf>
    <xf numFmtId="0" fontId="46" fillId="3" borderId="0" applyAlignment="1" pivotButton="0" quotePrefix="0" xfId="0">
      <alignment horizontal="center" vertical="center"/>
    </xf>
    <xf numFmtId="0" fontId="43" fillId="7" borderId="1" applyAlignment="1" pivotButton="0" quotePrefix="0" xfId="0">
      <alignment horizontal="center" vertical="center"/>
    </xf>
    <xf numFmtId="0" fontId="3" fillId="44" borderId="1" applyAlignment="1" pivotButton="0" quotePrefix="0" xfId="0">
      <alignment horizontal="left" vertical="center"/>
    </xf>
    <xf numFmtId="0" fontId="47" fillId="8" borderId="1" applyAlignment="1" pivotButton="0" quotePrefix="0" xfId="0">
      <alignment horizontal="center" vertical="center"/>
    </xf>
    <xf numFmtId="0" fontId="47" fillId="8" borderId="1" applyAlignment="1" pivotButton="0" quotePrefix="0" xfId="0">
      <alignment horizontal="left" vertical="center"/>
    </xf>
    <xf numFmtId="0" fontId="48" fillId="22" borderId="1" applyAlignment="1" pivotButton="0" quotePrefix="0" xfId="0">
      <alignment horizontal="center" vertical="center"/>
    </xf>
    <xf numFmtId="0" fontId="49" fillId="10" borderId="1" applyAlignment="1" pivotButton="0" quotePrefix="0" xfId="0">
      <alignment horizontal="center" vertical="center"/>
    </xf>
    <xf numFmtId="3" fontId="50" fillId="6" borderId="1" applyAlignment="1" pivotButton="0" quotePrefix="0" xfId="0">
      <alignment horizontal="right" vertical="center"/>
    </xf>
    <xf numFmtId="3" fontId="12" fillId="37" borderId="1" applyAlignment="1" pivotButton="0" quotePrefix="0" xfId="0">
      <alignment horizontal="right" vertical="center"/>
    </xf>
    <xf numFmtId="3" fontId="38" fillId="22" borderId="1" applyAlignment="1" pivotButton="0" quotePrefix="0" xfId="0">
      <alignment horizontal="right" vertical="center"/>
    </xf>
    <xf numFmtId="3" fontId="49" fillId="8" borderId="1" applyAlignment="1" pivotButton="0" quotePrefix="0" xfId="0">
      <alignment horizontal="right" vertical="center"/>
    </xf>
    <xf numFmtId="3" fontId="51" fillId="22" borderId="1" applyAlignment="1" pivotButton="0" quotePrefix="0" xfId="0">
      <alignment horizontal="right" vertical="center"/>
    </xf>
    <xf numFmtId="164" fontId="47" fillId="22" borderId="1" applyAlignment="1" pivotButton="0" quotePrefix="0" xfId="0">
      <alignment horizontal="right" vertical="center"/>
    </xf>
    <xf numFmtId="0" fontId="48" fillId="10" borderId="1" applyAlignment="1" pivotButton="0" quotePrefix="0" xfId="0">
      <alignment horizontal="center" vertical="center"/>
    </xf>
    <xf numFmtId="0" fontId="47" fillId="45" borderId="1" applyAlignment="1" pivotButton="0" quotePrefix="0" xfId="0">
      <alignment horizontal="center" vertical="center"/>
    </xf>
    <xf numFmtId="0" fontId="47" fillId="45" borderId="1" applyAlignment="1" pivotButton="0" quotePrefix="0" xfId="0">
      <alignment horizontal="left" vertical="center"/>
    </xf>
    <xf numFmtId="0" fontId="52" fillId="24" borderId="1" applyAlignment="1" pivotButton="0" quotePrefix="0" xfId="0">
      <alignment horizontal="center" vertical="center"/>
    </xf>
    <xf numFmtId="3" fontId="49" fillId="45" borderId="1" applyAlignment="1" pivotButton="0" quotePrefix="0" xfId="0">
      <alignment horizontal="right" vertical="center"/>
    </xf>
    <xf numFmtId="0" fontId="53" fillId="18" borderId="1" applyAlignment="1" pivotButton="0" quotePrefix="0" xfId="0">
      <alignment horizontal="center" vertical="center"/>
    </xf>
    <xf numFmtId="0" fontId="56" fillId="17" borderId="1" applyAlignment="1" pivotButton="0" quotePrefix="0" xfId="0">
      <alignment horizontal="center" vertical="center"/>
    </xf>
    <xf numFmtId="0" fontId="47" fillId="46" borderId="1" applyAlignment="1" pivotButton="0" quotePrefix="0" xfId="0">
      <alignment horizontal="center" vertical="center"/>
    </xf>
    <xf numFmtId="0" fontId="47" fillId="46" borderId="1" applyAlignment="1" pivotButton="0" quotePrefix="0" xfId="0">
      <alignment horizontal="left" vertical="center"/>
    </xf>
    <xf numFmtId="0" fontId="49" fillId="13" borderId="1" applyAlignment="1" pivotButton="0" quotePrefix="0" xfId="0">
      <alignment horizontal="center" vertical="center"/>
    </xf>
    <xf numFmtId="3" fontId="49" fillId="46" borderId="1" applyAlignment="1" pivotButton="0" quotePrefix="0" xfId="0">
      <alignment horizontal="right" vertical="center"/>
    </xf>
    <xf numFmtId="0" fontId="47" fillId="47" borderId="1" applyAlignment="1" pivotButton="0" quotePrefix="0" xfId="0">
      <alignment horizontal="center" vertical="center"/>
    </xf>
    <xf numFmtId="0" fontId="47" fillId="47" borderId="1" applyAlignment="1" pivotButton="0" quotePrefix="0" xfId="0">
      <alignment horizontal="left" vertical="center"/>
    </xf>
    <xf numFmtId="3" fontId="49" fillId="47" borderId="1" applyAlignment="1" pivotButton="0" quotePrefix="0" xfId="0">
      <alignment horizontal="right" vertical="center"/>
    </xf>
    <xf numFmtId="0" fontId="54" fillId="15" borderId="1" applyAlignment="1" pivotButton="0" quotePrefix="0" xfId="0">
      <alignment horizontal="center" vertical="center"/>
    </xf>
    <xf numFmtId="0" fontId="55" fillId="27" borderId="1" applyAlignment="1" pivotButton="0" quotePrefix="0" xfId="0">
      <alignment horizontal="center" vertical="center"/>
    </xf>
    <xf numFmtId="0" fontId="8" fillId="29" borderId="0" applyAlignment="1" pivotButton="0" quotePrefix="0" xfId="0">
      <alignment horizontal="center" vertical="center"/>
    </xf>
    <xf numFmtId="0" fontId="9" fillId="29" borderId="1" applyAlignment="1" pivotButton="0" quotePrefix="0" xfId="0">
      <alignment horizontal="center" vertical="center"/>
    </xf>
    <xf numFmtId="3" fontId="10" fillId="22" borderId="1" applyAlignment="1" pivotButton="0" quotePrefix="0" xfId="0">
      <alignment horizontal="right" vertical="center"/>
    </xf>
    <xf numFmtId="3" fontId="5" fillId="6" borderId="1" applyAlignment="1" pivotButton="0" quotePrefix="0" xfId="0">
      <alignment horizontal="right" vertical="center"/>
    </xf>
    <xf numFmtId="3" fontId="19" fillId="6" borderId="1" applyAlignment="1" pivotButton="0" quotePrefix="0" xfId="0">
      <alignment horizontal="right" vertical="center"/>
    </xf>
    <xf numFmtId="3" fontId="47" fillId="45" borderId="1" applyAlignment="1" pivotButton="0" quotePrefix="0" xfId="0">
      <alignment horizontal="right" vertical="center"/>
    </xf>
    <xf numFmtId="3" fontId="47"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BL_Productos" displayName="TBL_Productos" ref="A3:T100" headerRowCount="1">
  <autoFilter ref="A3:T100"/>
  <tableColumns count="20">
    <tableColumn id="1" name="ID"/>
    <tableColumn id="2" name="SKU"/>
    <tableColumn id="3" name="Nombre"/>
    <tableColumn id="4" name="Categoría"/>
    <tableColumn id="5" name="Subcategoría"/>
    <tableColumn id="6" name="Tipo"/>
    <tableColumn id="7" name="Variante"/>
    <tableColumn id="8" name="Costo MP"/>
    <tableColumn id="9" name="Costo Imp."/>
    <tableColumn id="10" name="Costo DTF"/>
    <tableColumn id="11" name="Costo Pack."/>
    <tableColumn id="12" name="Costo Envío"/>
    <tableColumn id="13" name="⚙ Costo Total"/>
    <tableColumn id="14" name="💰 Precio WEB"/>
    <tableColumn id="15" name="Precio Oferta"/>
    <tableColumn id="16" name="💵 Ganancia"/>
    <tableColumn id="17" name="📊 Margen %"/>
    <tableColumn id="18" name="Peso (g)"/>
    <tableColumn id="19" name="Tiempo Imp.(h)"/>
    <tableColumn id="20" name="Activo"/>
  </tableColumns>
  <tableStyleInfo name="TableStyleMedium2" showRowStripes="0"/>
</table>
</file>

<file path=xl/tables/table2.xml><?xml version="1.0" encoding="utf-8"?>
<table xmlns="http://schemas.openxmlformats.org/spreadsheetml/2006/main" id="2" name="TBL_Clientes" displayName="TBL_Clientes" ref="A2:T10" headerRowCount="1">
  <autoFilter ref="A2:T10"/>
  <tableColumns count="20">
    <tableColumn id="1" name="ID Cliente"/>
    <tableColumn id="2" name="Nombre"/>
    <tableColumn id="3" name="Apellido"/>
    <tableColumn id="4" name="Teléfono"/>
    <tableColumn id="5" name="Email"/>
    <tableColumn id="6" name="Instagram"/>
    <tableColumn id="7" name="Ciudad"/>
    <tableColumn id="8" name="Departamento"/>
    <tableColumn id="9" name="País"/>
    <tableColumn id="10" name="1ra Compra"/>
    <tableColumn id="11" name="Últ. Compra"/>
    <tableColumn id="12" name="Cant. Pedidos"/>
    <tableColumn id="13" name="Facturación"/>
    <tableColumn id="14" name="Ganancia"/>
    <tableColumn id="15" name="Ticket Prom."/>
    <tableColumn id="16" name="Canal Adq."/>
    <tableColumn id="17" name="Segmento"/>
    <tableColumn id="18" name="R"/>
    <tableColumn id="19" name="F"/>
    <tableColumn id="20" name="M"/>
  </tableColumns>
  <tableStyleInfo name="TableStyleMedium7" showFirstColumn="0" showLastColumn="0" showRowStripes="1" showColumnStripes="0"/>
</table>
</file>

<file path=xl/tables/table3.xml><?xml version="1.0" encoding="utf-8"?>
<table xmlns="http://schemas.openxmlformats.org/spreadsheetml/2006/main" id="3" name="TBL_Leads" displayName="TBL_Leads" ref="A2:L10" headerRowCount="1">
  <autoFilter ref="A2:L10"/>
  <tableColumns count="12">
    <tableColumn id="1" name="ID Lead"/>
    <tableColumn id="2" name="Fecha"/>
    <tableColumn id="3" name="Nombre"/>
    <tableColumn id="4" name="Teléfono"/>
    <tableColumn id="5" name="Instagram"/>
    <tableColumn id="6" name="Canal"/>
    <tableColumn id="7" name="Producto Interés"/>
    <tableColumn id="8" name="Ciudad"/>
    <tableColumn id="9" name="Departamento"/>
    <tableColumn id="10" name="Estado"/>
    <tableColumn id="11" name="Motivo Pérdida"/>
    <tableColumn id="12" name="Notas"/>
  </tableColumns>
  <tableStyleInfo name="TableStyleMedium3" showFirstColumn="0" showLastColumn="0" showRowStripes="1" showColumnStripes="0"/>
</table>
</file>

<file path=xl/tables/table4.xml><?xml version="1.0" encoding="utf-8"?>
<table xmlns="http://schemas.openxmlformats.org/spreadsheetml/2006/main" id="4" name="TBL_Cotizaciones" displayName="TBL_Cotizaciones" ref="A2:K9" headerRowCount="1">
  <autoFilter ref="A2:K9"/>
  <tableColumns count="11">
    <tableColumn id="1" name="ID Cotización"/>
    <tableColumn id="2" name="Fecha"/>
    <tableColumn id="3" name="ID Lead"/>
    <tableColumn id="4" name="Nombre Cliente"/>
    <tableColumn id="5" name="Producto"/>
    <tableColumn id="6" name="Cantidad"/>
    <tableColumn id="7" name="Precio Unit."/>
    <tableColumn id="8" name="Monto Total"/>
    <tableColumn id="9" name="Estado"/>
    <tableColumn id="10" name="Fecha Cierre"/>
    <tableColumn id="11" name="Notas"/>
  </tableColumns>
  <tableStyleInfo name="TableStyleMedium9" showFirstColumn="0" showLastColumn="0" showRowStripes="1" showColumnStripes="0"/>
</table>
</file>

<file path=xl/tables/table5.xml><?xml version="1.0" encoding="utf-8"?>
<table xmlns="http://schemas.openxmlformats.org/spreadsheetml/2006/main" id="5" name="TBL_Ventas" displayName="TBL_Ventas" ref="A2:P12" headerRowCount="1">
  <autoFilter ref="A2:P12"/>
  <tableColumns count="16">
    <tableColumn id="1" name="ID Venta"/>
    <tableColumn id="2" name="Fecha"/>
    <tableColumn id="3" name="ID Cliente"/>
    <tableColumn id="4" name="Nombre Cliente"/>
    <tableColumn id="5" name="Canal"/>
    <tableColumn id="6" name="Método Pago"/>
    <tableColumn id="7" name="Estado Pago"/>
    <tableColumn id="8" name="Estado Pedido"/>
    <tableColumn id="9" name="Estado Envío"/>
    <tableColumn id="10" name="Subtotal"/>
    <tableColumn id="11" name="Descuento"/>
    <tableColumn id="12" name="Facturación"/>
    <tableColumn id="13" name="Costo Total"/>
    <tableColumn id="14" name="Ganancia"/>
    <tableColumn id="15" name="Margen %"/>
    <tableColumn id="16" name="Notas"/>
  </tableColumns>
  <tableStyleInfo name="TableStyleMedium2" showRowStripes="1"/>
</table>
</file>

<file path=xl/tables/table6.xml><?xml version="1.0" encoding="utf-8"?>
<table xmlns="http://schemas.openxmlformats.org/spreadsheetml/2006/main" id="6" name="TBL_DetalleVentas" displayName="TBL_DetalleVentas" ref="A2:I13" headerRowCount="1">
  <autoFilter ref="A2:I13"/>
  <tableColumns count="9">
    <tableColumn id="1" name="ID Detalle"/>
    <tableColumn id="2" name="ID Venta"/>
    <tableColumn id="3" name="SKU"/>
    <tableColumn id="4" name="Producto"/>
    <tableColumn id="5" name="Cantidad"/>
    <tableColumn id="6" name="Precio Unit."/>
    <tableColumn id="7" name="Subtotal"/>
    <tableColumn id="8" name="Costo Unit."/>
    <tableColumn id="9" name="Ganancia"/>
  </tableColumns>
  <tableStyleInfo name="TableStyleMedium2" showRowStripes="1"/>
</table>
</file>

<file path=xl/tables/table7.xml><?xml version="1.0" encoding="utf-8"?>
<table xmlns="http://schemas.openxmlformats.org/spreadsheetml/2006/main" id="7" name="TBL_Gastos" displayName="TBL_Gastos" ref="A2:I14" headerRowCount="1">
  <autoFilter ref="A2:I14"/>
  <tableColumns count="9">
    <tableColumn id="1" name="ID"/>
    <tableColumn id="2" name="Fecha"/>
    <tableColumn id="3" name="Categoría"/>
    <tableColumn id="4" name="Subcategoría"/>
    <tableColumn id="5" name="Proveedor"/>
    <tableColumn id="6" name="Descripción"/>
    <tableColumn id="7" name="Monto"/>
    <tableColumn id="8" name="Método Pago"/>
    <tableColumn id="9" name="Comprobante"/>
  </tableColumns>
  <tableStyleInfo name="TableStyleMedium3" showRowStripes="1"/>
</table>
</file>

<file path=xl/tables/table8.xml><?xml version="1.0" encoding="utf-8"?>
<table xmlns="http://schemas.openxmlformats.org/spreadsheetml/2006/main" id="8" name="TBL_Publicidad" displayName="TBL_Publicidad" ref="A2:N8" headerRowCount="1">
  <autoFilter ref="A2:N8"/>
  <tableColumns count="14">
    <tableColumn id="1" name="ID"/>
    <tableColumn id="2" name="Fecha"/>
    <tableColumn id="3" name="Campaña"/>
    <tableColumn id="4" name="Objetivo"/>
    <tableColumn id="5" name="Canal"/>
    <tableColumn id="6" name="Inversión"/>
    <tableColumn id="7" name="Alcance"/>
    <tableColumn id="8" name="Clicks"/>
    <tableColumn id="9" name="CTR %"/>
    <tableColumn id="10" name="Consultas"/>
    <tableColumn id="11" name="Leads"/>
    <tableColumn id="12" name="Ventas"/>
    <tableColumn id="13" name="Facturación"/>
    <tableColumn id="14" name="ROAS"/>
  </tableColumns>
  <tableStyleInfo name="TableStyleMedium2" showRowStripes="1"/>
</table>
</file>

<file path=xl/tables/table9.xml><?xml version="1.0" encoding="utf-8"?>
<table xmlns="http://schemas.openxmlformats.org/spreadsheetml/2006/main" id="9" name="TBL_Envios" displayName="TBL_Envios" ref="A2:K8" headerRowCount="1">
  <autoFilter ref="A2:K8"/>
  <tableColumns count="11">
    <tableColumn id="1" name="ID Envío"/>
    <tableColumn id="2" name="ID Venta"/>
    <tableColumn id="3" name="Fecha"/>
    <tableColumn id="4" name="Cliente"/>
    <tableColumn id="5" name="Ciudad"/>
    <tableColumn id="6" name="Departamento"/>
    <tableColumn id="7" name="Transportista"/>
    <tableColumn id="8" name="Nro. Seguimiento"/>
    <tableColumn id="9" name="Costo"/>
    <tableColumn id="10" name="Estado"/>
    <tableColumn id="11" name="Fecha Entrega"/>
  </tableColumns>
  <tableStyleInfo name="TableStyleMedium7" showRowStripes="1"/>
</table>
</file>

<file path=xl/tables/table10.xml><?xml version="1.0" encoding="utf-8"?>
<table xmlns="http://schemas.openxmlformats.org/spreadsheetml/2006/main" id="10" name="TBL_Inventario" displayName="TBL_Inventario" ref="A2:L92" headerRowCount="1">
  <autoFilter ref="A2:L92"/>
  <tableColumns count="12">
    <tableColumn id="1" name="SKU"/>
    <tableColumn id="2" name="Producto"/>
    <tableColumn id="3" name="Categoría"/>
    <tableColumn id="4" name="Subcategoría"/>
    <tableColumn id="5" name="Tipo"/>
    <tableColumn id="6" name="Precio Venta"/>
    <tableColumn id="7" name="Stock Actual"/>
    <tableColumn id="8" name="Stock Mínimo"/>
    <tableColumn id="9" name="Stock Ideal"/>
    <tableColumn id="10" name="Costo Unit."/>
    <tableColumn id="11" name="Valor Stock"/>
    <tableColumn id="12" name="Alerta"/>
  </tableColumns>
  <tableStyleInfo name="TableStyleMedium9" showRowStripes="0"/>
</table>
</file>

<file path=xl/tables/table11.xml><?xml version="1.0" encoding="utf-8"?>
<table xmlns="http://schemas.openxmlformats.org/spreadsheetml/2006/main" id="11" name="TBL_PitBot" displayName="TBL_PitBot" ref="A2:M10" headerRowCount="1">
  <autoFilter ref="A2:M10"/>
  <tableColumns count="13">
    <tableColumn id="1" name="ID Conv."/>
    <tableColumn id="2" name="Fecha"/>
    <tableColumn id="3" name="Hora"/>
    <tableColumn id="4" name="Canal"/>
    <tableColumn id="5" name="Teléfono/User"/>
    <tableColumn id="6" name="Pregunta (resumen)"/>
    <tableColumn id="7" name="Categoría"/>
    <tableColumn id="8" name="Respuesta Enviada"/>
    <tableColumn id="9" name="Tiempo Resp.(min)"/>
    <tableColumn id="10" name="Resultado"/>
    <tableColumn id="11" name="Venta ID"/>
    <tableColumn id="12" name="Satisfacción"/>
    <tableColumn id="13" name="Notas"/>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E31837"/>
    <outlinePr summaryBelow="1" summaryRight="1"/>
    <pageSetUpPr/>
  </sheetPr>
  <dimension ref="A1:D35"/>
  <sheetViews>
    <sheetView showGridLines="0" workbookViewId="0">
      <selection activeCell="A1" sqref="A1"/>
    </sheetView>
  </sheetViews>
  <sheetFormatPr baseColWidth="8" defaultRowHeight="15"/>
  <cols>
    <col width="22" customWidth="1" min="1" max="1"/>
    <col width="38" customWidth="1" min="2" max="2"/>
    <col width="18" customWidth="1" min="3" max="3"/>
    <col width="30" customWidth="1" min="4" max="4"/>
  </cols>
  <sheetData>
    <row r="1" ht="32" customHeight="1">
      <c r="A1" s="201" t="inlineStr">
        <is>
          <t>⚙️  EL RINCÓN 3D LAB — CONFIGURACIÓN GLOBAL</t>
        </is>
      </c>
    </row>
    <row r="2" ht="18" customHeight="1">
      <c r="A2" s="168" t="inlineStr">
        <is>
          <t>Variables globales del sistema · Modificar solo en esta hoja</t>
        </is>
      </c>
    </row>
    <row r="4" ht="20" customHeight="1">
      <c r="A4" s="3" t="inlineStr">
        <is>
          <t>TIPO DE CAMBIO</t>
        </is>
      </c>
      <c r="B4" s="40" t="n"/>
      <c r="C4" s="40" t="n"/>
      <c r="D4" s="41" t="n"/>
    </row>
    <row r="5" ht="18" customHeight="1">
      <c r="A5" s="4" t="inlineStr">
        <is>
          <t>TC_USD_UYU</t>
        </is>
      </c>
      <c r="B5" s="5" t="inlineStr">
        <is>
          <t>Tipo de cambio USD/UYU</t>
        </is>
      </c>
      <c r="C5" s="6" t="n">
        <v>42.5</v>
      </c>
      <c r="D5" s="7" t="inlineStr">
        <is>
          <t>$ UYU por 1 USD</t>
        </is>
      </c>
    </row>
    <row r="6" ht="18" customHeight="1">
      <c r="A6" s="4" t="inlineStr">
        <is>
          <t>TC_USD_ARS</t>
        </is>
      </c>
      <c r="B6" s="5" t="inlineStr">
        <is>
          <t>Tipo de cambio USD/ARS</t>
        </is>
      </c>
      <c r="C6" s="6" t="n">
        <v>880</v>
      </c>
      <c r="D6" s="7" t="inlineStr">
        <is>
          <t>$ ARS por 1 USD</t>
        </is>
      </c>
    </row>
    <row r="8" ht="20" customHeight="1">
      <c r="A8" s="3" t="inlineStr">
        <is>
          <t>COMISIONES Y COSTOS PLATAFORMAS</t>
        </is>
      </c>
      <c r="B8" s="40" t="n"/>
      <c r="C8" s="40" t="n"/>
      <c r="D8" s="41" t="n"/>
    </row>
    <row r="9" ht="18" customHeight="1">
      <c r="A9" s="4" t="inlineStr">
        <is>
          <t>COM_MERCADOPAGO</t>
        </is>
      </c>
      <c r="B9" s="5" t="inlineStr">
        <is>
          <t>Comisión Mercado Pago (%)</t>
        </is>
      </c>
      <c r="C9" s="6" t="n">
        <v>3.49</v>
      </c>
      <c r="D9" s="7" t="inlineStr">
        <is>
          <t>% sobre venta</t>
        </is>
      </c>
    </row>
    <row r="10" ht="18" customHeight="1">
      <c r="A10" s="4" t="inlineStr">
        <is>
          <t>COM_WOOCOMMERCE</t>
        </is>
      </c>
      <c r="B10" s="5" t="inlineStr">
        <is>
          <t>Comisión WooCommerce (%)</t>
        </is>
      </c>
      <c r="C10" s="6" t="n">
        <v>2</v>
      </c>
      <c r="D10" s="7" t="inlineStr">
        <is>
          <t>% sobre venta</t>
        </is>
      </c>
    </row>
    <row r="11" ht="18" customHeight="1">
      <c r="A11" s="4" t="inlineStr">
        <is>
          <t>COM_MERCADOLIBRE</t>
        </is>
      </c>
      <c r="B11" s="5" t="inlineStr">
        <is>
          <t>Comisión Mercado Libre (%)</t>
        </is>
      </c>
      <c r="C11" s="6" t="n">
        <v>13</v>
      </c>
      <c r="D11" s="7" t="inlineStr">
        <is>
          <t>% sobre venta</t>
        </is>
      </c>
    </row>
    <row r="12" ht="18" customHeight="1">
      <c r="A12" s="4" t="inlineStr">
        <is>
          <t>COSTO_DAC</t>
        </is>
      </c>
      <c r="B12" s="5" t="inlineStr">
        <is>
          <t>Costo DAC promedio (UYU)</t>
        </is>
      </c>
      <c r="C12" s="6" t="n">
        <v>45</v>
      </c>
      <c r="D12" s="7" t="inlineStr">
        <is>
          <t>Por envío</t>
        </is>
      </c>
    </row>
    <row r="14" ht="20" customHeight="1">
      <c r="A14" s="3" t="inlineStr">
        <is>
          <t>PUBLICIDAD</t>
        </is>
      </c>
      <c r="B14" s="40" t="n"/>
      <c r="C14" s="40" t="n"/>
      <c r="D14" s="41" t="n"/>
    </row>
    <row r="15" ht="18" customHeight="1">
      <c r="A15" s="4" t="inlineStr">
        <is>
          <t>PRESUP_META_MES</t>
        </is>
      </c>
      <c r="B15" s="5" t="inlineStr">
        <is>
          <t>Presupuesto Meta Ads mensual</t>
        </is>
      </c>
      <c r="C15" s="6" t="n">
        <v>5000</v>
      </c>
      <c r="D15" s="7" t="inlineStr">
        <is>
          <t>UYU/mes</t>
        </is>
      </c>
    </row>
    <row r="16" ht="18" customHeight="1">
      <c r="A16" s="4" t="inlineStr">
        <is>
          <t>PRESUP_GOOGLE_MES</t>
        </is>
      </c>
      <c r="B16" s="5" t="inlineStr">
        <is>
          <t>Presupuesto Google Ads mensual</t>
        </is>
      </c>
      <c r="C16" s="6" t="n">
        <v>0</v>
      </c>
      <c r="D16" s="7" t="inlineStr">
        <is>
          <t>UYU/mes</t>
        </is>
      </c>
    </row>
    <row r="18" ht="20" customHeight="1">
      <c r="A18" s="3" t="inlineStr">
        <is>
          <t>OBJETIVOS</t>
        </is>
      </c>
      <c r="B18" s="40" t="n"/>
      <c r="C18" s="40" t="n"/>
      <c r="D18" s="41" t="n"/>
    </row>
    <row r="19" ht="18" customHeight="1">
      <c r="A19" s="4" t="inlineStr">
        <is>
          <t>OBJ_VENTAS_MES</t>
        </is>
      </c>
      <c r="B19" s="5" t="inlineStr">
        <is>
          <t>Objetivo ventas mensual (UYU)</t>
        </is>
      </c>
      <c r="C19" s="6" t="n">
        <v>80000</v>
      </c>
      <c r="D19" s="7" t="inlineStr">
        <is>
          <t>UYU</t>
        </is>
      </c>
    </row>
    <row r="20" ht="18" customHeight="1">
      <c r="A20" s="4" t="inlineStr">
        <is>
          <t>OBJ_UTILIDAD_MES</t>
        </is>
      </c>
      <c r="B20" s="5" t="inlineStr">
        <is>
          <t>Objetivo utilidad mensual (UYU)</t>
        </is>
      </c>
      <c r="C20" s="6" t="n">
        <v>25000</v>
      </c>
      <c r="D20" s="7" t="inlineStr">
        <is>
          <t>UYU</t>
        </is>
      </c>
    </row>
    <row r="21" ht="18" customHeight="1">
      <c r="A21" s="4" t="inlineStr">
        <is>
          <t>MARGEN_OBJETIVO</t>
        </is>
      </c>
      <c r="B21" s="5" t="inlineStr">
        <is>
          <t>Margen objetivo (%)</t>
        </is>
      </c>
      <c r="C21" s="6" t="n">
        <v>35</v>
      </c>
      <c r="D21" s="7" t="inlineStr">
        <is>
          <t>%</t>
        </is>
      </c>
    </row>
    <row r="22" ht="18" customHeight="1">
      <c r="A22" s="4" t="inlineStr">
        <is>
          <t>TICKET_OBJETIVO</t>
        </is>
      </c>
      <c r="B22" s="5" t="inlineStr">
        <is>
          <t>Ticket promedio objetivo (UYU)</t>
        </is>
      </c>
      <c r="C22" s="6" t="n">
        <v>1200</v>
      </c>
      <c r="D22" s="7" t="inlineStr">
        <is>
          <t>UYU</t>
        </is>
      </c>
    </row>
    <row r="24" ht="20" customHeight="1">
      <c r="A24" s="3" t="inlineStr">
        <is>
          <t>COSTOS FIJOS MENSUALES</t>
        </is>
      </c>
      <c r="B24" s="40" t="n"/>
      <c r="C24" s="40" t="n"/>
      <c r="D24" s="41" t="n"/>
    </row>
    <row r="25" ht="18" customHeight="1">
      <c r="A25" s="4" t="inlineStr">
        <is>
          <t>CF_ELECTRICIDAD</t>
        </is>
      </c>
      <c r="B25" s="5" t="inlineStr">
        <is>
          <t>Electricidad</t>
        </is>
      </c>
      <c r="C25" s="6" t="n">
        <v>1200</v>
      </c>
      <c r="D25" s="7" t="inlineStr">
        <is>
          <t>UYU/mes</t>
        </is>
      </c>
    </row>
    <row r="26" ht="18" customHeight="1">
      <c r="A26" s="4" t="inlineStr">
        <is>
          <t>CF_INTERNET</t>
        </is>
      </c>
      <c r="B26" s="5" t="inlineStr">
        <is>
          <t>Internet</t>
        </is>
      </c>
      <c r="C26" s="6" t="n">
        <v>800</v>
      </c>
      <c r="D26" s="7" t="inlineStr">
        <is>
          <t>UYU/mes</t>
        </is>
      </c>
    </row>
    <row r="27" ht="18" customHeight="1">
      <c r="A27" s="4" t="inlineStr">
        <is>
          <t>CF_SOFTWARE</t>
        </is>
      </c>
      <c r="B27" s="5" t="inlineStr">
        <is>
          <t>Software / SaaS</t>
        </is>
      </c>
      <c r="C27" s="6" t="n">
        <v>500</v>
      </c>
      <c r="D27" s="7" t="inlineStr">
        <is>
          <t>UYU/mes</t>
        </is>
      </c>
    </row>
    <row r="28" ht="18" customHeight="1">
      <c r="A28" s="4" t="inlineStr">
        <is>
          <t>CF_FILAMENTO</t>
        </is>
      </c>
      <c r="B28" s="5" t="inlineStr">
        <is>
          <t>Filamento base mensual</t>
        </is>
      </c>
      <c r="C28" s="6" t="n">
        <v>3000</v>
      </c>
      <c r="D28" s="7" t="inlineStr">
        <is>
          <t>UYU/mes</t>
        </is>
      </c>
    </row>
    <row r="29" ht="18" customHeight="1">
      <c r="A29" s="4" t="inlineStr">
        <is>
          <t>CF_OTROS</t>
        </is>
      </c>
      <c r="B29" s="5" t="inlineStr">
        <is>
          <t>Otros costos fijos</t>
        </is>
      </c>
      <c r="C29" s="6" t="n">
        <v>500</v>
      </c>
      <c r="D29" s="7" t="inlineStr">
        <is>
          <t>UYU/mes</t>
        </is>
      </c>
    </row>
    <row r="31" ht="20" customHeight="1">
      <c r="A31" s="3" t="inlineStr">
        <is>
          <t>IMPRESIÓN 3D</t>
        </is>
      </c>
      <c r="B31" s="40" t="n"/>
      <c r="C31" s="40" t="n"/>
      <c r="D31" s="41" t="n"/>
    </row>
    <row r="32" ht="18" customHeight="1">
      <c r="A32" s="4" t="inlineStr">
        <is>
          <t>COSTO_KWH</t>
        </is>
      </c>
      <c r="B32" s="5" t="inlineStr">
        <is>
          <t>Costo kWh (UYU)</t>
        </is>
      </c>
      <c r="C32" s="6" t="n">
        <v>6.5</v>
      </c>
      <c r="D32" s="7" t="inlineStr">
        <is>
          <t>UYU</t>
        </is>
      </c>
    </row>
    <row r="33" ht="18" customHeight="1">
      <c r="A33" s="4" t="inlineStr">
        <is>
          <t>CONSUMO_HORA</t>
        </is>
      </c>
      <c r="B33" s="5" t="inlineStr">
        <is>
          <t>Consumo impresora (kWh/h)</t>
        </is>
      </c>
      <c r="C33" s="6" t="n">
        <v>0.25</v>
      </c>
      <c r="D33" s="7" t="inlineStr">
        <is>
          <t>kWh por hora</t>
        </is>
      </c>
    </row>
    <row r="34" ht="18" customHeight="1">
      <c r="A34" s="4" t="inlineStr">
        <is>
          <t>COSTO_FILAMENTO_KG</t>
        </is>
      </c>
      <c r="B34" s="5" t="inlineStr">
        <is>
          <t>Costo filamento (UYU/kg)</t>
        </is>
      </c>
      <c r="C34" s="6" t="n">
        <v>600</v>
      </c>
      <c r="D34" s="7" t="inlineStr">
        <is>
          <t>UYU por kg</t>
        </is>
      </c>
    </row>
    <row r="35" ht="18" customHeight="1">
      <c r="A35" s="4" t="inlineStr">
        <is>
          <t>GRAMOS_POR_HORA</t>
        </is>
      </c>
      <c r="B35" s="5" t="inlineStr">
        <is>
          <t>Gramos filamento / hora</t>
        </is>
      </c>
      <c r="C35" s="6" t="n">
        <v>30</v>
      </c>
      <c r="D35" s="7" t="inlineStr">
        <is>
          <t>g/h promedio</t>
        </is>
      </c>
    </row>
  </sheetData>
  <mergeCells count="8">
    <mergeCell ref="A1:D1"/>
    <mergeCell ref="A18:D18"/>
    <mergeCell ref="A8:D8"/>
    <mergeCell ref="A31:D31"/>
    <mergeCell ref="A4:D4"/>
    <mergeCell ref="A24:D24"/>
    <mergeCell ref="A2:D2"/>
    <mergeCell ref="A14:D14"/>
  </mergeCells>
  <pageMargins left="0.75" right="0.75" top="1" bottom="1" header="0.5" footer="0.5"/>
</worksheet>
</file>

<file path=xl/worksheets/sheet2.xml><?xml version="1.0" encoding="utf-8"?>
<worksheet xmlns="http://schemas.openxmlformats.org/spreadsheetml/2006/main">
  <sheetPr>
    <tabColor rgb="001565C0"/>
    <outlinePr summaryBelow="1" summaryRight="1"/>
    <pageSetUpPr/>
  </sheetPr>
  <dimension ref="A1:T10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6" customWidth="1" min="3" max="3"/>
    <col width="20" customWidth="1" min="4" max="4"/>
    <col width="20" customWidth="1" min="5" max="5"/>
    <col width="16" customWidth="1" min="6" max="6"/>
    <col width="24" customWidth="1" min="7" max="7"/>
    <col width="11" customWidth="1" min="8" max="8"/>
    <col width="11" customWidth="1" min="9" max="9"/>
    <col width="11" customWidth="1" min="10" max="10"/>
    <col width="11" customWidth="1" min="11" max="11"/>
    <col width="11" customWidth="1" min="12" max="12"/>
    <col width="13" customWidth="1" min="13" max="13"/>
    <col width="13" customWidth="1" min="14" max="14"/>
    <col width="13" customWidth="1" min="15" max="15"/>
    <col width="12" customWidth="1" min="16" max="16"/>
    <col width="10" customWidth="1" min="17" max="17"/>
    <col width="9" customWidth="1" min="18" max="18"/>
    <col width="13" customWidth="1" min="19" max="19"/>
    <col width="8" customWidth="1" min="20" max="20"/>
  </cols>
  <sheetData>
    <row r="1" ht="28" customHeight="1">
      <c r="A1" s="282" t="inlineStr">
        <is>
          <t>📦  PRODUCTOS — BASE MAESTRA  |  Fuente: WooCommerce</t>
        </is>
      </c>
    </row>
    <row r="2" ht="16" customHeight="1">
      <c r="A2" s="283" t="inlineStr">
        <is>
          <t>⚡ Costos de producción a completar manualmente · Precios cargados desde WooCommerce · Margen se calcula automático</t>
        </is>
      </c>
    </row>
    <row r="3" ht="22" customHeight="1">
      <c r="A3" s="284" t="inlineStr">
        <is>
          <t>ID</t>
        </is>
      </c>
      <c r="B3" s="284" t="inlineStr">
        <is>
          <t>SKU</t>
        </is>
      </c>
      <c r="C3" s="284" t="inlineStr">
        <is>
          <t>Nombre</t>
        </is>
      </c>
      <c r="D3" s="284" t="inlineStr">
        <is>
          <t>Categoría</t>
        </is>
      </c>
      <c r="E3" s="284" t="inlineStr">
        <is>
          <t>Subcategoría</t>
        </is>
      </c>
      <c r="F3" s="284" t="inlineStr">
        <is>
          <t>Tipo</t>
        </is>
      </c>
      <c r="G3" s="284" t="inlineStr">
        <is>
          <t>Variante</t>
        </is>
      </c>
      <c r="H3" s="284" t="inlineStr">
        <is>
          <t>Costo MP</t>
        </is>
      </c>
      <c r="I3" s="284" t="inlineStr">
        <is>
          <t>Costo Imp.</t>
        </is>
      </c>
      <c r="J3" s="284" t="inlineStr">
        <is>
          <t>Costo DTF</t>
        </is>
      </c>
      <c r="K3" s="284" t="inlineStr">
        <is>
          <t>Costo Pack.</t>
        </is>
      </c>
      <c r="L3" s="284" t="inlineStr">
        <is>
          <t>Costo Envío</t>
        </is>
      </c>
      <c r="M3" s="284" t="inlineStr">
        <is>
          <t>⚙ Costo Total</t>
        </is>
      </c>
      <c r="N3" s="284" t="inlineStr">
        <is>
          <t>💰 Precio WEB</t>
        </is>
      </c>
      <c r="O3" s="284" t="inlineStr">
        <is>
          <t>Precio Oferta</t>
        </is>
      </c>
      <c r="P3" s="284" t="inlineStr">
        <is>
          <t>💵 Ganancia</t>
        </is>
      </c>
      <c r="Q3" s="284" t="inlineStr">
        <is>
          <t>📊 Margen %</t>
        </is>
      </c>
      <c r="R3" s="284" t="inlineStr">
        <is>
          <t>Peso (g)</t>
        </is>
      </c>
      <c r="S3" s="284" t="inlineStr">
        <is>
          <t>Tiempo Imp.(h)</t>
        </is>
      </c>
      <c r="T3" s="284" t="inlineStr">
        <is>
          <t>Activo</t>
        </is>
      </c>
    </row>
    <row r="4" ht="18" customHeight="1">
      <c r="A4" s="285" t="inlineStr">
        <is>
          <t>▶  CALENDARIO 2026  ·  SKU padre:   ·  IMPRESIÓN 3D  ·  Variantes: Fechas, Nombres</t>
        </is>
      </c>
    </row>
    <row r="5" ht="16" customHeight="1">
      <c r="A5" s="286" t="n">
        <v>2</v>
      </c>
      <c r="B5" s="287" t="inlineStr"/>
      <c r="C5" s="287" t="inlineStr">
        <is>
          <t>Jarras cerveceras motorsport</t>
        </is>
      </c>
      <c r="D5" s="288" t="inlineStr">
        <is>
          <t>TERMOS Y BEBIDAS</t>
        </is>
      </c>
      <c r="E5" s="287" t="inlineStr">
        <is>
          <t>Mates</t>
        </is>
      </c>
      <c r="F5" s="289" t="inlineStr">
        <is>
          <t>Simple</t>
        </is>
      </c>
      <c r="G5" s="287" t="inlineStr"/>
      <c r="H5" s="290" t="n">
        <v>0</v>
      </c>
      <c r="I5" s="290" t="n">
        <v>0</v>
      </c>
      <c r="J5" s="290" t="n">
        <v>0</v>
      </c>
      <c r="K5" s="290" t="n">
        <v>0</v>
      </c>
      <c r="L5" s="290" t="n">
        <v>0</v>
      </c>
      <c r="M5" s="291">
        <f>H5+I5+J5+K5+L5</f>
        <v/>
      </c>
      <c r="N5" s="292" t="n">
        <v>950</v>
      </c>
      <c r="O5" s="293" t="n"/>
      <c r="P5" s="294">
        <f>IF(N5&gt;0,N5-M5,0)</f>
        <v/>
      </c>
      <c r="Q5" s="295">
        <f>IF(N5&gt;0,P5/N5*100,0)</f>
        <v/>
      </c>
      <c r="R5" s="286" t="n">
        <v>0</v>
      </c>
      <c r="S5" s="286" t="n">
        <v>0</v>
      </c>
      <c r="T5" s="296" t="inlineStr">
        <is>
          <t>SI</t>
        </is>
      </c>
    </row>
    <row r="6" ht="16" customHeight="1">
      <c r="A6" s="297" t="n">
        <v>3</v>
      </c>
      <c r="B6" s="298" t="inlineStr">
        <is>
          <t>ER3D-LAMP-001</t>
        </is>
      </c>
      <c r="C6" s="298" t="inlineStr">
        <is>
          <t>Lámparas retroiluminadas</t>
        </is>
      </c>
      <c r="D6" s="299" t="inlineStr">
        <is>
          <t>ILUMINACIÓN</t>
        </is>
      </c>
      <c r="E6" s="298" t="inlineStr">
        <is>
          <t>Lámparas &amp; Neones</t>
        </is>
      </c>
      <c r="F6" s="289" t="inlineStr">
        <is>
          <t>Simple</t>
        </is>
      </c>
      <c r="G6" s="298" t="inlineStr"/>
      <c r="H6" s="290" t="n">
        <v>0</v>
      </c>
      <c r="I6" s="290" t="n">
        <v>0</v>
      </c>
      <c r="J6" s="290" t="n">
        <v>0</v>
      </c>
      <c r="K6" s="290" t="n">
        <v>0</v>
      </c>
      <c r="L6" s="290" t="n">
        <v>0</v>
      </c>
      <c r="M6" s="291">
        <f>H6+I6+J6+K6+L6</f>
        <v/>
      </c>
      <c r="N6" s="292" t="n">
        <v>2600</v>
      </c>
      <c r="O6" s="300" t="n"/>
      <c r="P6" s="294">
        <f>IF(N6&gt;0,N6-M6,0)</f>
        <v/>
      </c>
      <c r="Q6" s="295">
        <f>IF(N6&gt;0,P6/N6*100,0)</f>
        <v/>
      </c>
      <c r="R6" s="297" t="n">
        <v>0</v>
      </c>
      <c r="S6" s="297" t="n">
        <v>0</v>
      </c>
      <c r="T6" s="296" t="inlineStr">
        <is>
          <t>SI</t>
        </is>
      </c>
    </row>
    <row r="7" ht="18" customHeight="1">
      <c r="A7" s="285" t="inlineStr">
        <is>
          <t>▶  ALERONES F1 DELANTEROS  ·  SKU padre: ER3D-WING-001  ·  PERSONALIZADOS  ·  Variantes: Ferrari, Aston Martin, RedBull, F-2004, Mercedes</t>
        </is>
      </c>
    </row>
    <row r="8" ht="18" customHeight="1">
      <c r="A8" s="285" t="inlineStr">
        <is>
          <t>▶  RELOJ ESTILO TAGHEUER 3D  ·  SKU padre: ER3D-CLOCK-001  ·  IMPRESIÓN 3D  ·  Variantes: Rojo, Verde, Azul, Negro</t>
        </is>
      </c>
    </row>
    <row r="9" ht="16" customHeight="1">
      <c r="A9" s="286" t="n">
        <v>6</v>
      </c>
      <c r="B9" s="287" t="inlineStr">
        <is>
          <t>ER3D-KEYH-001</t>
        </is>
      </c>
      <c r="C9" s="287" t="inlineStr">
        <is>
          <t>Portallaves varios modelos</t>
        </is>
      </c>
      <c r="D9" s="301" t="inlineStr">
        <is>
          <t>IMPRESIÓN 3D</t>
        </is>
      </c>
      <c r="E9" s="287" t="inlineStr">
        <is>
          <t>Portallaves &amp; Garaje</t>
        </is>
      </c>
      <c r="F9" s="289" t="inlineStr">
        <is>
          <t>Simple</t>
        </is>
      </c>
      <c r="G9" s="287" t="inlineStr"/>
      <c r="H9" s="290" t="n">
        <v>0</v>
      </c>
      <c r="I9" s="290" t="n">
        <v>0</v>
      </c>
      <c r="J9" s="290" t="n">
        <v>0</v>
      </c>
      <c r="K9" s="290" t="n">
        <v>0</v>
      </c>
      <c r="L9" s="290" t="n">
        <v>0</v>
      </c>
      <c r="M9" s="291">
        <f>H9+I9+J9+K9+L9</f>
        <v/>
      </c>
      <c r="N9" s="292" t="n">
        <v>2600</v>
      </c>
      <c r="O9" s="293" t="n"/>
      <c r="P9" s="294">
        <f>IF(N9&gt;0,N9-M9,0)</f>
        <v/>
      </c>
      <c r="Q9" s="295">
        <f>IF(N9&gt;0,P9/N9*100,0)</f>
        <v/>
      </c>
      <c r="R9" s="286" t="n">
        <v>0</v>
      </c>
      <c r="S9" s="286" t="n">
        <v>0</v>
      </c>
      <c r="T9" s="296" t="inlineStr">
        <is>
          <t>SI</t>
        </is>
      </c>
    </row>
    <row r="10" ht="16" customHeight="1">
      <c r="A10" s="297" t="n">
        <v>7</v>
      </c>
      <c r="B10" s="298" t="inlineStr">
        <is>
          <t>ER3D-MATE-001</t>
        </is>
      </c>
      <c r="C10" s="298" t="inlineStr">
        <is>
          <t>Mate Pirelli 3D</t>
        </is>
      </c>
      <c r="D10" s="288" t="inlineStr">
        <is>
          <t>TERMOS Y BEBIDAS</t>
        </is>
      </c>
      <c r="E10" s="298" t="inlineStr">
        <is>
          <t>Mates</t>
        </is>
      </c>
      <c r="F10" s="289" t="inlineStr">
        <is>
          <t>Simple</t>
        </is>
      </c>
      <c r="G10" s="298" t="inlineStr"/>
      <c r="H10" s="290" t="n">
        <v>0</v>
      </c>
      <c r="I10" s="290" t="n">
        <v>0</v>
      </c>
      <c r="J10" s="290" t="n">
        <v>0</v>
      </c>
      <c r="K10" s="290" t="n">
        <v>0</v>
      </c>
      <c r="L10" s="290" t="n">
        <v>0</v>
      </c>
      <c r="M10" s="291">
        <f>H10+I10+J10+K10+L10</f>
        <v/>
      </c>
      <c r="N10" s="292" t="n">
        <v>950</v>
      </c>
      <c r="O10" s="300" t="n"/>
      <c r="P10" s="294">
        <f>IF(N10&gt;0,N10-M10,0)</f>
        <v/>
      </c>
      <c r="Q10" s="295">
        <f>IF(N10&gt;0,P10/N10*100,0)</f>
        <v/>
      </c>
      <c r="R10" s="297" t="n">
        <v>0</v>
      </c>
      <c r="S10" s="297" t="n">
        <v>0</v>
      </c>
      <c r="T10" s="296" t="inlineStr">
        <is>
          <t>SI</t>
        </is>
      </c>
    </row>
    <row r="11" ht="18" customHeight="1">
      <c r="A11" s="285" t="inlineStr">
        <is>
          <t>▶  TAZA DE TUS ÍDOLOS  ·  SKU padre: ER3D-TAZA-001  ·  TERMOS Y BEBIDAS  ·  Variantes: Ferrari, Mercedes, Red Bull, Max Verstappen 2026, Max Verstappen, Senna MP4/4 Coche, Senna MP4/4 Sponsors, Senna Casco, Senna Fotos, Sainz Williams, Lando Norris, Oscar Piastri, McLaren, Charles Leclerc Ferrari, Charles Leclerc Fotos, Hamilton Ferrari, Hamilton Fotos, Alonso Aston Martin, Alonso Renault, Bottas Cadillac, Checo Cadillac</t>
        </is>
      </c>
    </row>
    <row r="12" ht="18" customHeight="1">
      <c r="A12" s="285" t="inlineStr">
        <is>
          <t>▶  HOODIE ESCUDERÍAS  ·  SKU padre: ER3D-HOODIE-001  ·  INDUMENTARIA  ·  Variantes: Senna MP4/4, Senna Fotos, Ferrari, Mercedes, McLaren, Max Verstappen Coche, Max Verstappen Fotos, Lando Norris Fotos, Lando Norris Coche, Schumacher, Aston Martin Alonso, Senninha, Logo Senna, Box Box Box, Simply Lovely, Semana de Carrera, Mustang, Need Money For Porsche, Porsche, Audi F1, Cadillac F1, Senna Vintage</t>
        </is>
      </c>
    </row>
    <row r="13" ht="18" customHeight="1">
      <c r="A13" s="285" t="inlineStr">
        <is>
          <t>▶  ALERÓN TRASERO LEYENDAS  ·  SKU padre: ER3D-WING-LEG-001  ·  PERSONALIZADOS  ·  Variantes: MP4/4, F-2004</t>
        </is>
      </c>
    </row>
    <row r="14" ht="16" customHeight="1">
      <c r="A14" s="286" t="n">
        <v>11</v>
      </c>
      <c r="B14" s="287" t="inlineStr">
        <is>
          <t>ER3D-PEN-001</t>
        </is>
      </c>
      <c r="C14" s="287" t="inlineStr">
        <is>
          <t>Lapicero Pirelli</t>
        </is>
      </c>
      <c r="D14" s="301" t="inlineStr">
        <is>
          <t>IMPRESIÓN 3D</t>
        </is>
      </c>
      <c r="E14" s="287" t="inlineStr">
        <is>
          <t>Escritorio &amp; Organización</t>
        </is>
      </c>
      <c r="F14" s="289" t="inlineStr">
        <is>
          <t>Simple</t>
        </is>
      </c>
      <c r="G14" s="287" t="inlineStr"/>
      <c r="H14" s="290" t="n">
        <v>0</v>
      </c>
      <c r="I14" s="290" t="n">
        <v>0</v>
      </c>
      <c r="J14" s="290" t="n">
        <v>0</v>
      </c>
      <c r="K14" s="290" t="n">
        <v>0</v>
      </c>
      <c r="L14" s="290" t="n">
        <v>0</v>
      </c>
      <c r="M14" s="291">
        <f>H14+I14+J14+K14+L14</f>
        <v/>
      </c>
      <c r="N14" s="292" t="n">
        <v>950</v>
      </c>
      <c r="O14" s="293" t="n"/>
      <c r="P14" s="294">
        <f>IF(N14&gt;0,N14-M14,0)</f>
        <v/>
      </c>
      <c r="Q14" s="295">
        <f>IF(N14&gt;0,P14/N14*100,0)</f>
        <v/>
      </c>
      <c r="R14" s="286" t="n">
        <v>0</v>
      </c>
      <c r="S14" s="286" t="n">
        <v>0</v>
      </c>
      <c r="T14" s="296" t="inlineStr">
        <is>
          <t>SI</t>
        </is>
      </c>
    </row>
    <row r="15" ht="16" customHeight="1">
      <c r="A15" s="297" t="n">
        <v>12</v>
      </c>
      <c r="B15" s="298" t="inlineStr">
        <is>
          <t>ER3D-TIRES-SET-001</t>
        </is>
      </c>
      <c r="C15" s="298" t="inlineStr">
        <is>
          <t>Set 5 neumáticos</t>
        </is>
      </c>
      <c r="D15" s="301" t="inlineStr">
        <is>
          <t>IMPRESIÓN 3D</t>
        </is>
      </c>
      <c r="E15" s="298" t="inlineStr">
        <is>
          <t>Alerones &amp; Réplicas</t>
        </is>
      </c>
      <c r="F15" s="289" t="inlineStr">
        <is>
          <t>Simple</t>
        </is>
      </c>
      <c r="G15" s="298" t="inlineStr"/>
      <c r="H15" s="290" t="n">
        <v>0</v>
      </c>
      <c r="I15" s="290" t="n">
        <v>0</v>
      </c>
      <c r="J15" s="290" t="n">
        <v>0</v>
      </c>
      <c r="K15" s="290" t="n">
        <v>0</v>
      </c>
      <c r="L15" s="290" t="n">
        <v>0</v>
      </c>
      <c r="M15" s="291">
        <f>H15+I15+J15+K15+L15</f>
        <v/>
      </c>
      <c r="N15" s="292" t="n">
        <v>2890</v>
      </c>
      <c r="O15" s="300" t="n"/>
      <c r="P15" s="294">
        <f>IF(N15&gt;0,N15-M15,0)</f>
        <v/>
      </c>
      <c r="Q15" s="295">
        <f>IF(N15&gt;0,P15/N15*100,0)</f>
        <v/>
      </c>
      <c r="R15" s="297" t="n">
        <v>0</v>
      </c>
      <c r="S15" s="297" t="n">
        <v>0</v>
      </c>
      <c r="T15" s="296" t="inlineStr">
        <is>
          <t>SI</t>
        </is>
      </c>
    </row>
    <row r="16" ht="16" customHeight="1">
      <c r="A16" s="286" t="n">
        <v>13</v>
      </c>
      <c r="B16" s="287" t="inlineStr">
        <is>
          <t>ER3D-PLATE-001</t>
        </is>
      </c>
      <c r="C16" s="287" t="inlineStr">
        <is>
          <t>Placas de equipos</t>
        </is>
      </c>
      <c r="D16" s="301" t="inlineStr">
        <is>
          <t>IMPRESIÓN 3D</t>
        </is>
      </c>
      <c r="E16" s="287" t="inlineStr">
        <is>
          <t>Decoración</t>
        </is>
      </c>
      <c r="F16" s="289" t="inlineStr">
        <is>
          <t>Simple</t>
        </is>
      </c>
      <c r="G16" s="287" t="inlineStr"/>
      <c r="H16" s="290" t="n">
        <v>0</v>
      </c>
      <c r="I16" s="290" t="n">
        <v>0</v>
      </c>
      <c r="J16" s="290" t="n">
        <v>0</v>
      </c>
      <c r="K16" s="290" t="n">
        <v>0</v>
      </c>
      <c r="L16" s="290" t="n">
        <v>0</v>
      </c>
      <c r="M16" s="291">
        <f>H16+I16+J16+K16+L16</f>
        <v/>
      </c>
      <c r="N16" s="292" t="n">
        <v>590</v>
      </c>
      <c r="O16" s="293" t="n"/>
      <c r="P16" s="294">
        <f>IF(N16&gt;0,N16-M16,0)</f>
        <v/>
      </c>
      <c r="Q16" s="295">
        <f>IF(N16&gt;0,P16/N16*100,0)</f>
        <v/>
      </c>
      <c r="R16" s="286" t="n">
        <v>0</v>
      </c>
      <c r="S16" s="286" t="n">
        <v>0</v>
      </c>
      <c r="T16" s="296" t="inlineStr">
        <is>
          <t>SI</t>
        </is>
      </c>
    </row>
    <row r="17" ht="16" customHeight="1">
      <c r="A17" s="297" t="n">
        <v>14</v>
      </c>
      <c r="B17" s="298" t="inlineStr">
        <is>
          <t>ER3D-NEON-F1-001</t>
        </is>
      </c>
      <c r="C17" s="298" t="inlineStr">
        <is>
          <t>Luminaria Neón-LED F1</t>
        </is>
      </c>
      <c r="D17" s="299" t="inlineStr">
        <is>
          <t>ILUMINACIÓN</t>
        </is>
      </c>
      <c r="E17" s="298" t="inlineStr">
        <is>
          <t>Lámparas &amp; Neones</t>
        </is>
      </c>
      <c r="F17" s="289" t="inlineStr">
        <is>
          <t>Simple</t>
        </is>
      </c>
      <c r="G17" s="298" t="inlineStr"/>
      <c r="H17" s="290" t="n">
        <v>0</v>
      </c>
      <c r="I17" s="290" t="n">
        <v>0</v>
      </c>
      <c r="J17" s="290" t="n">
        <v>0</v>
      </c>
      <c r="K17" s="290" t="n">
        <v>0</v>
      </c>
      <c r="L17" s="290" t="n">
        <v>0</v>
      </c>
      <c r="M17" s="291">
        <f>H17+I17+J17+K17+L17</f>
        <v/>
      </c>
      <c r="N17" s="292" t="n">
        <v>3200</v>
      </c>
      <c r="O17" s="300" t="n"/>
      <c r="P17" s="294">
        <f>IF(N17&gt;0,N17-M17,0)</f>
        <v/>
      </c>
      <c r="Q17" s="295">
        <f>IF(N17&gt;0,P17/N17*100,0)</f>
        <v/>
      </c>
      <c r="R17" s="297" t="n">
        <v>0</v>
      </c>
      <c r="S17" s="297" t="n">
        <v>0</v>
      </c>
      <c r="T17" s="296" t="inlineStr">
        <is>
          <t>SI</t>
        </is>
      </c>
    </row>
    <row r="18" ht="16" customHeight="1">
      <c r="A18" s="286" t="n">
        <v>15</v>
      </c>
      <c r="B18" s="287" t="inlineStr">
        <is>
          <t>ER3D-NEON-SPA-001</t>
        </is>
      </c>
      <c r="C18" s="287" t="inlineStr">
        <is>
          <t>Luminaria circuitos neón</t>
        </is>
      </c>
      <c r="D18" s="299" t="inlineStr">
        <is>
          <t>ILUMINACIÓN</t>
        </is>
      </c>
      <c r="E18" s="287" t="inlineStr">
        <is>
          <t>Lámparas &amp; Neones</t>
        </is>
      </c>
      <c r="F18" s="289" t="inlineStr">
        <is>
          <t>Simple</t>
        </is>
      </c>
      <c r="G18" s="287" t="inlineStr"/>
      <c r="H18" s="290" t="n">
        <v>0</v>
      </c>
      <c r="I18" s="290" t="n">
        <v>0</v>
      </c>
      <c r="J18" s="290" t="n">
        <v>0</v>
      </c>
      <c r="K18" s="290" t="n">
        <v>0</v>
      </c>
      <c r="L18" s="290" t="n">
        <v>0</v>
      </c>
      <c r="M18" s="291">
        <f>H18+I18+J18+K18+L18</f>
        <v/>
      </c>
      <c r="N18" s="292" t="n">
        <v>1600</v>
      </c>
      <c r="O18" s="293" t="n"/>
      <c r="P18" s="294">
        <f>IF(N18&gt;0,N18-M18,0)</f>
        <v/>
      </c>
      <c r="Q18" s="295">
        <f>IF(N18&gt;0,P18/N18*100,0)</f>
        <v/>
      </c>
      <c r="R18" s="286" t="n">
        <v>0</v>
      </c>
      <c r="S18" s="286" t="n">
        <v>0</v>
      </c>
      <c r="T18" s="296" t="inlineStr">
        <is>
          <t>SI</t>
        </is>
      </c>
    </row>
    <row r="19" ht="16" customHeight="1">
      <c r="A19" s="297" t="n">
        <v>16</v>
      </c>
      <c r="B19" s="298" t="inlineStr">
        <is>
          <t>ER3D-LAMP-LEGO-001</t>
        </is>
      </c>
      <c r="C19" s="298" t="inlineStr">
        <is>
          <t>Lámpara Lego</t>
        </is>
      </c>
      <c r="D19" s="299" t="inlineStr">
        <is>
          <t>ILUMINACIÓN</t>
        </is>
      </c>
      <c r="E19" s="298" t="inlineStr">
        <is>
          <t>Lámparas &amp; Neones</t>
        </is>
      </c>
      <c r="F19" s="289" t="inlineStr">
        <is>
          <t>Simple</t>
        </is>
      </c>
      <c r="G19" s="298" t="inlineStr"/>
      <c r="H19" s="290" t="n">
        <v>0</v>
      </c>
      <c r="I19" s="290" t="n">
        <v>0</v>
      </c>
      <c r="J19" s="290" t="n">
        <v>0</v>
      </c>
      <c r="K19" s="290" t="n">
        <v>0</v>
      </c>
      <c r="L19" s="290" t="n">
        <v>0</v>
      </c>
      <c r="M19" s="291">
        <f>H19+I19+J19+K19+L19</f>
        <v/>
      </c>
      <c r="N19" s="292" t="n">
        <v>2600</v>
      </c>
      <c r="O19" s="300" t="n"/>
      <c r="P19" s="294">
        <f>IF(N19&gt;0,N19-M19,0)</f>
        <v/>
      </c>
      <c r="Q19" s="295">
        <f>IF(N19&gt;0,P19/N19*100,0)</f>
        <v/>
      </c>
      <c r="R19" s="297" t="n">
        <v>0</v>
      </c>
      <c r="S19" s="297" t="n">
        <v>0</v>
      </c>
      <c r="T19" s="296" t="inlineStr">
        <is>
          <t>SI</t>
        </is>
      </c>
    </row>
    <row r="20" ht="16" customHeight="1">
      <c r="A20" s="286" t="n">
        <v>17</v>
      </c>
      <c r="B20" s="287" t="inlineStr">
        <is>
          <t>ER3D-LAMP-RB-001</t>
        </is>
      </c>
      <c r="C20" s="287" t="inlineStr">
        <is>
          <t>Lámpara Red Bull</t>
        </is>
      </c>
      <c r="D20" s="299" t="inlineStr">
        <is>
          <t>ILUMINACIÓN</t>
        </is>
      </c>
      <c r="E20" s="287" t="inlineStr">
        <is>
          <t>Lámparas &amp; Neones</t>
        </is>
      </c>
      <c r="F20" s="289" t="inlineStr">
        <is>
          <t>Simple</t>
        </is>
      </c>
      <c r="G20" s="287" t="inlineStr"/>
      <c r="H20" s="290" t="n">
        <v>0</v>
      </c>
      <c r="I20" s="290" t="n">
        <v>0</v>
      </c>
      <c r="J20" s="290" t="n">
        <v>0</v>
      </c>
      <c r="K20" s="290" t="n">
        <v>0</v>
      </c>
      <c r="L20" s="290" t="n">
        <v>0</v>
      </c>
      <c r="M20" s="291">
        <f>H20+I20+J20+K20+L20</f>
        <v/>
      </c>
      <c r="N20" s="292" t="n">
        <v>2600</v>
      </c>
      <c r="O20" s="293" t="n"/>
      <c r="P20" s="294">
        <f>IF(N20&gt;0,N20-M20,0)</f>
        <v/>
      </c>
      <c r="Q20" s="295">
        <f>IF(N20&gt;0,P20/N20*100,0)</f>
        <v/>
      </c>
      <c r="R20" s="286" t="n">
        <v>0</v>
      </c>
      <c r="S20" s="286" t="n">
        <v>0</v>
      </c>
      <c r="T20" s="296" t="inlineStr">
        <is>
          <t>SI</t>
        </is>
      </c>
    </row>
    <row r="21" ht="16" customHeight="1">
      <c r="A21" s="297" t="n">
        <v>18</v>
      </c>
      <c r="B21" s="298" t="inlineStr">
        <is>
          <t>ER3D-CALIPER-ORG-001</t>
        </is>
      </c>
      <c r="C21" s="298" t="inlineStr">
        <is>
          <t>Calipers organizadores</t>
        </is>
      </c>
      <c r="D21" s="301" t="inlineStr">
        <is>
          <t>IMPRESIÓN 3D</t>
        </is>
      </c>
      <c r="E21" s="298" t="inlineStr">
        <is>
          <t>Escritorio &amp; Organización</t>
        </is>
      </c>
      <c r="F21" s="289" t="inlineStr">
        <is>
          <t>Simple</t>
        </is>
      </c>
      <c r="G21" s="298" t="inlineStr"/>
      <c r="H21" s="290" t="n">
        <v>0</v>
      </c>
      <c r="I21" s="290" t="n">
        <v>0</v>
      </c>
      <c r="J21" s="290" t="n">
        <v>0</v>
      </c>
      <c r="K21" s="290" t="n">
        <v>0</v>
      </c>
      <c r="L21" s="290" t="n">
        <v>0</v>
      </c>
      <c r="M21" s="291">
        <f>H21+I21+J21+K21+L21</f>
        <v/>
      </c>
      <c r="N21" s="292" t="n">
        <v>2190</v>
      </c>
      <c r="O21" s="300" t="n"/>
      <c r="P21" s="294">
        <f>IF(N21&gt;0,N21-M21,0)</f>
        <v/>
      </c>
      <c r="Q21" s="295">
        <f>IF(N21&gt;0,P21/N21*100,0)</f>
        <v/>
      </c>
      <c r="R21" s="297" t="n">
        <v>0</v>
      </c>
      <c r="S21" s="297" t="n">
        <v>0</v>
      </c>
      <c r="T21" s="296" t="inlineStr">
        <is>
          <t>SI</t>
        </is>
      </c>
    </row>
    <row r="22" ht="16" customHeight="1">
      <c r="A22" s="286" t="n">
        <v>19</v>
      </c>
      <c r="B22" s="287" t="inlineStr">
        <is>
          <t>ER3D-MATE-HELM-001</t>
        </is>
      </c>
      <c r="C22" s="287" t="inlineStr">
        <is>
          <t>Mate de cascos</t>
        </is>
      </c>
      <c r="D22" s="288" t="inlineStr">
        <is>
          <t>TERMOS Y BEBIDAS</t>
        </is>
      </c>
      <c r="E22" s="287" t="inlineStr">
        <is>
          <t>Mates</t>
        </is>
      </c>
      <c r="F22" s="289" t="inlineStr">
        <is>
          <t>Simple</t>
        </is>
      </c>
      <c r="G22" s="287" t="inlineStr"/>
      <c r="H22" s="290" t="n">
        <v>0</v>
      </c>
      <c r="I22" s="290" t="n">
        <v>0</v>
      </c>
      <c r="J22" s="290" t="n">
        <v>0</v>
      </c>
      <c r="K22" s="290" t="n">
        <v>0</v>
      </c>
      <c r="L22" s="290" t="n">
        <v>0</v>
      </c>
      <c r="M22" s="291">
        <f>H22+I22+J22+K22+L22</f>
        <v/>
      </c>
      <c r="N22" s="292" t="n">
        <v>2290</v>
      </c>
      <c r="O22" s="293" t="n"/>
      <c r="P22" s="294">
        <f>IF(N22&gt;0,N22-M22,0)</f>
        <v/>
      </c>
      <c r="Q22" s="295">
        <f>IF(N22&gt;0,P22/N22*100,0)</f>
        <v/>
      </c>
      <c r="R22" s="286" t="n">
        <v>0</v>
      </c>
      <c r="S22" s="286" t="n">
        <v>0</v>
      </c>
      <c r="T22" s="296" t="inlineStr">
        <is>
          <t>SI</t>
        </is>
      </c>
    </row>
    <row r="23" ht="16" customHeight="1">
      <c r="A23" s="297" t="n">
        <v>20</v>
      </c>
      <c r="B23" s="298" t="inlineStr">
        <is>
          <t>ER3D-DISPLAY-143-001</t>
        </is>
      </c>
      <c r="C23" s="298" t="inlineStr">
        <is>
          <t>Exhibidor 1/43</t>
        </is>
      </c>
      <c r="D23" s="301" t="inlineStr">
        <is>
          <t>IMPRESIÓN 3D</t>
        </is>
      </c>
      <c r="E23" s="298" t="inlineStr">
        <is>
          <t>Alerones &amp; Réplicas</t>
        </is>
      </c>
      <c r="F23" s="289" t="inlineStr">
        <is>
          <t>Simple</t>
        </is>
      </c>
      <c r="G23" s="298" t="inlineStr"/>
      <c r="H23" s="290" t="n">
        <v>0</v>
      </c>
      <c r="I23" s="290" t="n">
        <v>0</v>
      </c>
      <c r="J23" s="290" t="n">
        <v>0</v>
      </c>
      <c r="K23" s="290" t="n">
        <v>0</v>
      </c>
      <c r="L23" s="290" t="n">
        <v>0</v>
      </c>
      <c r="M23" s="291">
        <f>H23+I23+J23+K23+L23</f>
        <v/>
      </c>
      <c r="N23" s="292" t="n">
        <v>1490</v>
      </c>
      <c r="O23" s="300" t="n"/>
      <c r="P23" s="294">
        <f>IF(N23&gt;0,N23-M23,0)</f>
        <v/>
      </c>
      <c r="Q23" s="295">
        <f>IF(N23&gt;0,P23/N23*100,0)</f>
        <v/>
      </c>
      <c r="R23" s="297" t="n">
        <v>0</v>
      </c>
      <c r="S23" s="297" t="n">
        <v>0</v>
      </c>
      <c r="T23" s="296" t="inlineStr">
        <is>
          <t>SI</t>
        </is>
      </c>
    </row>
    <row r="24" ht="16" customHeight="1">
      <c r="A24" s="286" t="n">
        <v>21</v>
      </c>
      <c r="B24" s="287" t="inlineStr">
        <is>
          <t>ER3D-KEY-GAR-001</t>
        </is>
      </c>
      <c r="C24" s="287" t="inlineStr">
        <is>
          <t>Portallaves Garage</t>
        </is>
      </c>
      <c r="D24" s="301" t="inlineStr">
        <is>
          <t>IMPRESIÓN 3D</t>
        </is>
      </c>
      <c r="E24" s="287" t="inlineStr">
        <is>
          <t>Portallaves &amp; Garaje</t>
        </is>
      </c>
      <c r="F24" s="289" t="inlineStr">
        <is>
          <t>Simple</t>
        </is>
      </c>
      <c r="G24" s="287" t="inlineStr"/>
      <c r="H24" s="290" t="n">
        <v>0</v>
      </c>
      <c r="I24" s="290" t="n">
        <v>0</v>
      </c>
      <c r="J24" s="290" t="n">
        <v>0</v>
      </c>
      <c r="K24" s="290" t="n">
        <v>0</v>
      </c>
      <c r="L24" s="290" t="n">
        <v>0</v>
      </c>
      <c r="M24" s="291">
        <f>H24+I24+J24+K24+L24</f>
        <v/>
      </c>
      <c r="N24" s="292" t="n">
        <v>850</v>
      </c>
      <c r="O24" s="293" t="n"/>
      <c r="P24" s="294">
        <f>IF(N24&gt;0,N24-M24,0)</f>
        <v/>
      </c>
      <c r="Q24" s="295">
        <f>IF(N24&gt;0,P24/N24*100,0)</f>
        <v/>
      </c>
      <c r="R24" s="286" t="n">
        <v>0</v>
      </c>
      <c r="S24" s="286" t="n">
        <v>0</v>
      </c>
      <c r="T24" s="296" t="inlineStr">
        <is>
          <t>SI</t>
        </is>
      </c>
    </row>
    <row r="25" ht="16" customHeight="1">
      <c r="A25" s="297" t="n">
        <v>22</v>
      </c>
      <c r="B25" s="298" t="inlineStr">
        <is>
          <t>ER3D-NOSE-MP44-001</t>
        </is>
      </c>
      <c r="C25" s="298" t="inlineStr">
        <is>
          <t>Trompa MP4/4</t>
        </is>
      </c>
      <c r="D25" s="301" t="inlineStr">
        <is>
          <t>IMPRESIÓN 3D</t>
        </is>
      </c>
      <c r="E25" s="298" t="inlineStr">
        <is>
          <t>Alerones &amp; Réplicas</t>
        </is>
      </c>
      <c r="F25" s="289" t="inlineStr">
        <is>
          <t>Simple</t>
        </is>
      </c>
      <c r="G25" s="298" t="inlineStr"/>
      <c r="H25" s="290" t="n">
        <v>0</v>
      </c>
      <c r="I25" s="290" t="n">
        <v>0</v>
      </c>
      <c r="J25" s="290" t="n">
        <v>0</v>
      </c>
      <c r="K25" s="290" t="n">
        <v>0</v>
      </c>
      <c r="L25" s="290" t="n">
        <v>0</v>
      </c>
      <c r="M25" s="291">
        <f>H25+I25+J25+K25+L25</f>
        <v/>
      </c>
      <c r="N25" s="292" t="n">
        <v>1490</v>
      </c>
      <c r="O25" s="300" t="n"/>
      <c r="P25" s="294">
        <f>IF(N25&gt;0,N25-M25,0)</f>
        <v/>
      </c>
      <c r="Q25" s="295">
        <f>IF(N25&gt;0,P25/N25*100,0)</f>
        <v/>
      </c>
      <c r="R25" s="297" t="n">
        <v>0</v>
      </c>
      <c r="S25" s="297" t="n">
        <v>0</v>
      </c>
      <c r="T25" s="296" t="inlineStr">
        <is>
          <t>SI</t>
        </is>
      </c>
    </row>
    <row r="26" ht="16" customHeight="1">
      <c r="A26" s="286" t="n">
        <v>23</v>
      </c>
      <c r="B26" s="287" t="inlineStr">
        <is>
          <t>ER3DL-VOL-F1-001</t>
        </is>
      </c>
      <c r="C26" s="287" t="inlineStr">
        <is>
          <t>Volante F1 personalizable</t>
        </is>
      </c>
      <c r="D26" s="302" t="inlineStr">
        <is>
          <t>PERSONALIZADOS</t>
        </is>
      </c>
      <c r="E26" s="287" t="inlineStr">
        <is>
          <t>A medida</t>
        </is>
      </c>
      <c r="F26" s="289" t="inlineStr">
        <is>
          <t>Simple</t>
        </is>
      </c>
      <c r="G26" s="287" t="inlineStr"/>
      <c r="H26" s="290" t="n">
        <v>0</v>
      </c>
      <c r="I26" s="290" t="n">
        <v>0</v>
      </c>
      <c r="J26" s="290" t="n">
        <v>0</v>
      </c>
      <c r="K26" s="290" t="n">
        <v>0</v>
      </c>
      <c r="L26" s="290" t="n">
        <v>0</v>
      </c>
      <c r="M26" s="291">
        <f>H26+I26+J26+K26+L26</f>
        <v/>
      </c>
      <c r="N26" s="292" t="n">
        <v>3600</v>
      </c>
      <c r="O26" s="293" t="n"/>
      <c r="P26" s="294">
        <f>IF(N26&gt;0,N26-M26,0)</f>
        <v/>
      </c>
      <c r="Q26" s="295">
        <f>IF(N26&gt;0,P26/N26*100,0)</f>
        <v/>
      </c>
      <c r="R26" s="286" t="n">
        <v>0</v>
      </c>
      <c r="S26" s="286" t="n">
        <v>0</v>
      </c>
      <c r="T26" s="296" t="inlineStr">
        <is>
          <t>SI</t>
        </is>
      </c>
    </row>
    <row r="27" ht="16" customHeight="1">
      <c r="A27" s="303" t="n">
        <v>24</v>
      </c>
      <c r="B27" s="304" t="inlineStr">
        <is>
          <t>ER3D-CLOCK-001-ROJO</t>
        </is>
      </c>
      <c r="C27" s="304" t="inlineStr">
        <is>
          <t>Reloj estilo TagHeuer 3D - Rojo</t>
        </is>
      </c>
      <c r="D27" s="301" t="inlineStr">
        <is>
          <t>IMPRESIÓN 3D</t>
        </is>
      </c>
      <c r="E27" s="304" t="inlineStr">
        <is>
          <t>Decoración</t>
        </is>
      </c>
      <c r="F27" s="305" t="inlineStr">
        <is>
          <t>Variante</t>
        </is>
      </c>
      <c r="G27" s="304" t="inlineStr">
        <is>
          <t>Rojo</t>
        </is>
      </c>
      <c r="H27" s="290" t="n">
        <v>0</v>
      </c>
      <c r="I27" s="290" t="n">
        <v>0</v>
      </c>
      <c r="J27" s="290" t="n">
        <v>0</v>
      </c>
      <c r="K27" s="290" t="n">
        <v>0</v>
      </c>
      <c r="L27" s="290" t="n">
        <v>0</v>
      </c>
      <c r="M27" s="291">
        <f>H27+I27+J27+K27+L27</f>
        <v/>
      </c>
      <c r="N27" s="292" t="n">
        <v>4500</v>
      </c>
      <c r="O27" s="306" t="n"/>
      <c r="P27" s="294">
        <f>IF(N27&gt;0,N27-M27,0)</f>
        <v/>
      </c>
      <c r="Q27" s="295">
        <f>IF(N27&gt;0,P27/N27*100,0)</f>
        <v/>
      </c>
      <c r="R27" s="303" t="n">
        <v>0</v>
      </c>
      <c r="S27" s="303" t="n">
        <v>0</v>
      </c>
      <c r="T27" s="296" t="inlineStr">
        <is>
          <t>SI</t>
        </is>
      </c>
    </row>
    <row r="28" ht="16" customHeight="1">
      <c r="A28" s="307" t="n">
        <v>25</v>
      </c>
      <c r="B28" s="308" t="inlineStr">
        <is>
          <t>ER3D-CLOCK-001-VERDE</t>
        </is>
      </c>
      <c r="C28" s="308" t="inlineStr">
        <is>
          <t>Reloj estilo TagHeuer 3D - Verde</t>
        </is>
      </c>
      <c r="D28" s="301" t="inlineStr">
        <is>
          <t>IMPRESIÓN 3D</t>
        </is>
      </c>
      <c r="E28" s="308" t="inlineStr">
        <is>
          <t>Decoración</t>
        </is>
      </c>
      <c r="F28" s="305" t="inlineStr">
        <is>
          <t>Variante</t>
        </is>
      </c>
      <c r="G28" s="308" t="inlineStr">
        <is>
          <t>Verde</t>
        </is>
      </c>
      <c r="H28" s="290" t="n">
        <v>0</v>
      </c>
      <c r="I28" s="290" t="n">
        <v>0</v>
      </c>
      <c r="J28" s="290" t="n">
        <v>0</v>
      </c>
      <c r="K28" s="290" t="n">
        <v>0</v>
      </c>
      <c r="L28" s="290" t="n">
        <v>0</v>
      </c>
      <c r="M28" s="291">
        <f>H28+I28+J28+K28+L28</f>
        <v/>
      </c>
      <c r="N28" s="292" t="n">
        <v>4500</v>
      </c>
      <c r="O28" s="309" t="n"/>
      <c r="P28" s="294">
        <f>IF(N28&gt;0,N28-M28,0)</f>
        <v/>
      </c>
      <c r="Q28" s="295">
        <f>IF(N28&gt;0,P28/N28*100,0)</f>
        <v/>
      </c>
      <c r="R28" s="307" t="n">
        <v>0</v>
      </c>
      <c r="S28" s="307" t="n">
        <v>0</v>
      </c>
      <c r="T28" s="296" t="inlineStr">
        <is>
          <t>SI</t>
        </is>
      </c>
    </row>
    <row r="29" ht="16" customHeight="1">
      <c r="A29" s="303" t="n">
        <v>26</v>
      </c>
      <c r="B29" s="304" t="inlineStr">
        <is>
          <t>ER3D-CLOCK-001-AZUL</t>
        </is>
      </c>
      <c r="C29" s="304" t="inlineStr">
        <is>
          <t>Reloj estilo TagHeuer 3D - Azul</t>
        </is>
      </c>
      <c r="D29" s="301" t="inlineStr">
        <is>
          <t>IMPRESIÓN 3D</t>
        </is>
      </c>
      <c r="E29" s="304" t="inlineStr">
        <is>
          <t>Decoración</t>
        </is>
      </c>
      <c r="F29" s="305" t="inlineStr">
        <is>
          <t>Variante</t>
        </is>
      </c>
      <c r="G29" s="304" t="inlineStr">
        <is>
          <t>Azul</t>
        </is>
      </c>
      <c r="H29" s="290" t="n">
        <v>0</v>
      </c>
      <c r="I29" s="290" t="n">
        <v>0</v>
      </c>
      <c r="J29" s="290" t="n">
        <v>0</v>
      </c>
      <c r="K29" s="290" t="n">
        <v>0</v>
      </c>
      <c r="L29" s="290" t="n">
        <v>0</v>
      </c>
      <c r="M29" s="291">
        <f>H29+I29+J29+K29+L29</f>
        <v/>
      </c>
      <c r="N29" s="292" t="n">
        <v>4500</v>
      </c>
      <c r="O29" s="306" t="n"/>
      <c r="P29" s="294">
        <f>IF(N29&gt;0,N29-M29,0)</f>
        <v/>
      </c>
      <c r="Q29" s="295">
        <f>IF(N29&gt;0,P29/N29*100,0)</f>
        <v/>
      </c>
      <c r="R29" s="303" t="n">
        <v>0</v>
      </c>
      <c r="S29" s="303" t="n">
        <v>0</v>
      </c>
      <c r="T29" s="296" t="inlineStr">
        <is>
          <t>SI</t>
        </is>
      </c>
    </row>
    <row r="30" ht="16" customHeight="1">
      <c r="A30" s="307" t="n">
        <v>27</v>
      </c>
      <c r="B30" s="308" t="inlineStr">
        <is>
          <t>ER3D-CLOCK-001-NEGRO</t>
        </is>
      </c>
      <c r="C30" s="308" t="inlineStr">
        <is>
          <t>Reloj estilo TagHeuer 3D - Negro</t>
        </is>
      </c>
      <c r="D30" s="301" t="inlineStr">
        <is>
          <t>IMPRESIÓN 3D</t>
        </is>
      </c>
      <c r="E30" s="308" t="inlineStr">
        <is>
          <t>Decoración</t>
        </is>
      </c>
      <c r="F30" s="305" t="inlineStr">
        <is>
          <t>Variante</t>
        </is>
      </c>
      <c r="G30" s="308" t="inlineStr">
        <is>
          <t>Negro</t>
        </is>
      </c>
      <c r="H30" s="290" t="n">
        <v>0</v>
      </c>
      <c r="I30" s="290" t="n">
        <v>0</v>
      </c>
      <c r="J30" s="290" t="n">
        <v>0</v>
      </c>
      <c r="K30" s="290" t="n">
        <v>0</v>
      </c>
      <c r="L30" s="290" t="n">
        <v>0</v>
      </c>
      <c r="M30" s="291">
        <f>H30+I30+J30+K30+L30</f>
        <v/>
      </c>
      <c r="N30" s="292" t="n">
        <v>4500</v>
      </c>
      <c r="O30" s="309" t="n"/>
      <c r="P30" s="294">
        <f>IF(N30&gt;0,N30-M30,0)</f>
        <v/>
      </c>
      <c r="Q30" s="295">
        <f>IF(N30&gt;0,P30/N30*100,0)</f>
        <v/>
      </c>
      <c r="R30" s="307" t="n">
        <v>0</v>
      </c>
      <c r="S30" s="307" t="n">
        <v>0</v>
      </c>
      <c r="T30" s="296" t="inlineStr">
        <is>
          <t>SI</t>
        </is>
      </c>
    </row>
    <row r="31" ht="16" customHeight="1">
      <c r="A31" s="303" t="n">
        <v>28</v>
      </c>
      <c r="B31" s="304" t="inlineStr">
        <is>
          <t>VAR-FECHAS</t>
        </is>
      </c>
      <c r="C31" s="304" t="inlineStr">
        <is>
          <t>Calendario 2026 - Fechas</t>
        </is>
      </c>
      <c r="D31" s="301" t="inlineStr">
        <is>
          <t>IMPRESIÓN 3D</t>
        </is>
      </c>
      <c r="E31" s="304" t="inlineStr">
        <is>
          <t>Escritorio &amp; Organización</t>
        </is>
      </c>
      <c r="F31" s="305" t="inlineStr">
        <is>
          <t>Variante</t>
        </is>
      </c>
      <c r="G31" s="304" t="inlineStr">
        <is>
          <t>Fechas</t>
        </is>
      </c>
      <c r="H31" s="290" t="n">
        <v>0</v>
      </c>
      <c r="I31" s="290" t="n">
        <v>0</v>
      </c>
      <c r="J31" s="290" t="n">
        <v>0</v>
      </c>
      <c r="K31" s="290" t="n">
        <v>0</v>
      </c>
      <c r="L31" s="290" t="n">
        <v>0</v>
      </c>
      <c r="M31" s="291">
        <f>H31+I31+J31+K31+L31</f>
        <v/>
      </c>
      <c r="N31" s="292" t="n">
        <v>950</v>
      </c>
      <c r="O31" s="306" t="n"/>
      <c r="P31" s="294">
        <f>IF(N31&gt;0,N31-M31,0)</f>
        <v/>
      </c>
      <c r="Q31" s="295">
        <f>IF(N31&gt;0,P31/N31*100,0)</f>
        <v/>
      </c>
      <c r="R31" s="303" t="n">
        <v>0</v>
      </c>
      <c r="S31" s="303" t="n">
        <v>0</v>
      </c>
      <c r="T31" s="296" t="inlineStr">
        <is>
          <t>SI</t>
        </is>
      </c>
    </row>
    <row r="32" ht="16" customHeight="1">
      <c r="A32" s="307" t="n">
        <v>29</v>
      </c>
      <c r="B32" s="308" t="inlineStr">
        <is>
          <t>VAR-NOMBRES</t>
        </is>
      </c>
      <c r="C32" s="308" t="inlineStr">
        <is>
          <t>Calendario 2026 - Nombres</t>
        </is>
      </c>
      <c r="D32" s="301" t="inlineStr">
        <is>
          <t>IMPRESIÓN 3D</t>
        </is>
      </c>
      <c r="E32" s="308" t="inlineStr">
        <is>
          <t>Escritorio &amp; Organización</t>
        </is>
      </c>
      <c r="F32" s="305" t="inlineStr">
        <is>
          <t>Variante</t>
        </is>
      </c>
      <c r="G32" s="308" t="inlineStr">
        <is>
          <t>Nombres</t>
        </is>
      </c>
      <c r="H32" s="290" t="n">
        <v>0</v>
      </c>
      <c r="I32" s="290" t="n">
        <v>0</v>
      </c>
      <c r="J32" s="290" t="n">
        <v>0</v>
      </c>
      <c r="K32" s="290" t="n">
        <v>0</v>
      </c>
      <c r="L32" s="290" t="n">
        <v>0</v>
      </c>
      <c r="M32" s="291">
        <f>H32+I32+J32+K32+L32</f>
        <v/>
      </c>
      <c r="N32" s="292" t="n">
        <v>950</v>
      </c>
      <c r="O32" s="309" t="n"/>
      <c r="P32" s="294">
        <f>IF(N32&gt;0,N32-M32,0)</f>
        <v/>
      </c>
      <c r="Q32" s="295">
        <f>IF(N32&gt;0,P32/N32*100,0)</f>
        <v/>
      </c>
      <c r="R32" s="307" t="n">
        <v>0</v>
      </c>
      <c r="S32" s="307" t="n">
        <v>0</v>
      </c>
      <c r="T32" s="296" t="inlineStr">
        <is>
          <t>SI</t>
        </is>
      </c>
    </row>
    <row r="33" ht="16" customHeight="1">
      <c r="A33" s="303" t="n">
        <v>30</v>
      </c>
      <c r="B33" s="304" t="inlineStr">
        <is>
          <t>ER3D-WING-LEG-001-MP44</t>
        </is>
      </c>
      <c r="C33" s="304" t="inlineStr">
        <is>
          <t>Alerón trasero leyendas - MP4/4</t>
        </is>
      </c>
      <c r="D33" s="302" t="inlineStr">
        <is>
          <t>PERSONALIZADOS</t>
        </is>
      </c>
      <c r="E33" s="304" t="inlineStr">
        <is>
          <t>A medida</t>
        </is>
      </c>
      <c r="F33" s="305" t="inlineStr">
        <is>
          <t>Variante</t>
        </is>
      </c>
      <c r="G33" s="304" t="inlineStr">
        <is>
          <t>MP4/4</t>
        </is>
      </c>
      <c r="H33" s="290" t="n">
        <v>0</v>
      </c>
      <c r="I33" s="290" t="n">
        <v>0</v>
      </c>
      <c r="J33" s="290" t="n">
        <v>0</v>
      </c>
      <c r="K33" s="290" t="n">
        <v>0</v>
      </c>
      <c r="L33" s="290" t="n">
        <v>0</v>
      </c>
      <c r="M33" s="291">
        <f>H33+I33+J33+K33+L33</f>
        <v/>
      </c>
      <c r="N33" s="292" t="n">
        <v>1690</v>
      </c>
      <c r="O33" s="306" t="n"/>
      <c r="P33" s="294">
        <f>IF(N33&gt;0,N33-M33,0)</f>
        <v/>
      </c>
      <c r="Q33" s="295">
        <f>IF(N33&gt;0,P33/N33*100,0)</f>
        <v/>
      </c>
      <c r="R33" s="303" t="n">
        <v>0</v>
      </c>
      <c r="S33" s="303" t="n">
        <v>0</v>
      </c>
      <c r="T33" s="296" t="inlineStr">
        <is>
          <t>SI</t>
        </is>
      </c>
    </row>
    <row r="34" ht="16" customHeight="1">
      <c r="A34" s="307" t="n">
        <v>31</v>
      </c>
      <c r="B34" s="308" t="inlineStr">
        <is>
          <t>ER3D-WING-LEG-001-F-2004</t>
        </is>
      </c>
      <c r="C34" s="308" t="inlineStr">
        <is>
          <t>Alerón trasero leyendas - F-2004</t>
        </is>
      </c>
      <c r="D34" s="302" t="inlineStr">
        <is>
          <t>PERSONALIZADOS</t>
        </is>
      </c>
      <c r="E34" s="308" t="inlineStr">
        <is>
          <t>A medida</t>
        </is>
      </c>
      <c r="F34" s="305" t="inlineStr">
        <is>
          <t>Variante</t>
        </is>
      </c>
      <c r="G34" s="308" t="inlineStr">
        <is>
          <t>F-2004</t>
        </is>
      </c>
      <c r="H34" s="290" t="n">
        <v>0</v>
      </c>
      <c r="I34" s="290" t="n">
        <v>0</v>
      </c>
      <c r="J34" s="290" t="n">
        <v>0</v>
      </c>
      <c r="K34" s="290" t="n">
        <v>0</v>
      </c>
      <c r="L34" s="290" t="n">
        <v>0</v>
      </c>
      <c r="M34" s="291">
        <f>H34+I34+J34+K34+L34</f>
        <v/>
      </c>
      <c r="N34" s="292" t="n">
        <v>1690</v>
      </c>
      <c r="O34" s="309" t="n"/>
      <c r="P34" s="294">
        <f>IF(N34&gt;0,N34-M34,0)</f>
        <v/>
      </c>
      <c r="Q34" s="295">
        <f>IF(N34&gt;0,P34/N34*100,0)</f>
        <v/>
      </c>
      <c r="R34" s="307" t="n">
        <v>0</v>
      </c>
      <c r="S34" s="307" t="n">
        <v>0</v>
      </c>
      <c r="T34" s="296" t="inlineStr">
        <is>
          <t>SI</t>
        </is>
      </c>
    </row>
    <row r="35" ht="16" customHeight="1">
      <c r="A35" s="303" t="n">
        <v>32</v>
      </c>
      <c r="B35" s="304" t="inlineStr">
        <is>
          <t>ER3D-WING-001-FERRARI</t>
        </is>
      </c>
      <c r="C35" s="304" t="inlineStr">
        <is>
          <t>Alerones F1 delanteros - Ferrari</t>
        </is>
      </c>
      <c r="D35" s="302" t="inlineStr">
        <is>
          <t>PERSONALIZADOS</t>
        </is>
      </c>
      <c r="E35" s="304" t="inlineStr">
        <is>
          <t>A medida</t>
        </is>
      </c>
      <c r="F35" s="305" t="inlineStr">
        <is>
          <t>Variante</t>
        </is>
      </c>
      <c r="G35" s="304" t="inlineStr">
        <is>
          <t>Ferrari</t>
        </is>
      </c>
      <c r="H35" s="290" t="n">
        <v>0</v>
      </c>
      <c r="I35" s="290" t="n">
        <v>0</v>
      </c>
      <c r="J35" s="290" t="n">
        <v>0</v>
      </c>
      <c r="K35" s="290" t="n">
        <v>0</v>
      </c>
      <c r="L35" s="290" t="n">
        <v>0</v>
      </c>
      <c r="M35" s="291">
        <f>H35+I35+J35+K35+L35</f>
        <v/>
      </c>
      <c r="N35" s="292" t="n">
        <v>3200</v>
      </c>
      <c r="O35" s="306" t="n"/>
      <c r="P35" s="294">
        <f>IF(N35&gt;0,N35-M35,0)</f>
        <v/>
      </c>
      <c r="Q35" s="295">
        <f>IF(N35&gt;0,P35/N35*100,0)</f>
        <v/>
      </c>
      <c r="R35" s="303" t="n">
        <v>0</v>
      </c>
      <c r="S35" s="303" t="n">
        <v>0</v>
      </c>
      <c r="T35" s="296" t="inlineStr">
        <is>
          <t>SI</t>
        </is>
      </c>
    </row>
    <row r="36" ht="16" customHeight="1">
      <c r="A36" s="307" t="n">
        <v>33</v>
      </c>
      <c r="B36" s="308" t="inlineStr">
        <is>
          <t>ER3D-WING-001-ASTON-MART</t>
        </is>
      </c>
      <c r="C36" s="308" t="inlineStr">
        <is>
          <t>Alerones F1 delanteros - Aston Martin</t>
        </is>
      </c>
      <c r="D36" s="302" t="inlineStr">
        <is>
          <t>PERSONALIZADOS</t>
        </is>
      </c>
      <c r="E36" s="308" t="inlineStr">
        <is>
          <t>A medida</t>
        </is>
      </c>
      <c r="F36" s="305" t="inlineStr">
        <is>
          <t>Variante</t>
        </is>
      </c>
      <c r="G36" s="308" t="inlineStr">
        <is>
          <t>Aston Martin</t>
        </is>
      </c>
      <c r="H36" s="290" t="n">
        <v>0</v>
      </c>
      <c r="I36" s="290" t="n">
        <v>0</v>
      </c>
      <c r="J36" s="290" t="n">
        <v>0</v>
      </c>
      <c r="K36" s="290" t="n">
        <v>0</v>
      </c>
      <c r="L36" s="290" t="n">
        <v>0</v>
      </c>
      <c r="M36" s="291">
        <f>H36+I36+J36+K36+L36</f>
        <v/>
      </c>
      <c r="N36" s="292" t="n">
        <v>3200</v>
      </c>
      <c r="O36" s="309" t="n"/>
      <c r="P36" s="294">
        <f>IF(N36&gt;0,N36-M36,0)</f>
        <v/>
      </c>
      <c r="Q36" s="295">
        <f>IF(N36&gt;0,P36/N36*100,0)</f>
        <v/>
      </c>
      <c r="R36" s="307" t="n">
        <v>0</v>
      </c>
      <c r="S36" s="307" t="n">
        <v>0</v>
      </c>
      <c r="T36" s="296" t="inlineStr">
        <is>
          <t>SI</t>
        </is>
      </c>
    </row>
    <row r="37" ht="16" customHeight="1">
      <c r="A37" s="303" t="n">
        <v>34</v>
      </c>
      <c r="B37" s="304" t="inlineStr">
        <is>
          <t>ER3D-WING-001-REDBULL</t>
        </is>
      </c>
      <c r="C37" s="304" t="inlineStr">
        <is>
          <t>Alerones F1 delanteros - RedBull</t>
        </is>
      </c>
      <c r="D37" s="302" t="inlineStr">
        <is>
          <t>PERSONALIZADOS</t>
        </is>
      </c>
      <c r="E37" s="304" t="inlineStr">
        <is>
          <t>A medida</t>
        </is>
      </c>
      <c r="F37" s="305" t="inlineStr">
        <is>
          <t>Variante</t>
        </is>
      </c>
      <c r="G37" s="304" t="inlineStr">
        <is>
          <t>RedBull</t>
        </is>
      </c>
      <c r="H37" s="290" t="n">
        <v>0</v>
      </c>
      <c r="I37" s="290" t="n">
        <v>0</v>
      </c>
      <c r="J37" s="290" t="n">
        <v>0</v>
      </c>
      <c r="K37" s="290" t="n">
        <v>0</v>
      </c>
      <c r="L37" s="290" t="n">
        <v>0</v>
      </c>
      <c r="M37" s="291">
        <f>H37+I37+J37+K37+L37</f>
        <v/>
      </c>
      <c r="N37" s="292" t="n">
        <v>3200</v>
      </c>
      <c r="O37" s="306" t="n"/>
      <c r="P37" s="294">
        <f>IF(N37&gt;0,N37-M37,0)</f>
        <v/>
      </c>
      <c r="Q37" s="295">
        <f>IF(N37&gt;0,P37/N37*100,0)</f>
        <v/>
      </c>
      <c r="R37" s="303" t="n">
        <v>0</v>
      </c>
      <c r="S37" s="303" t="n">
        <v>0</v>
      </c>
      <c r="T37" s="296" t="inlineStr">
        <is>
          <t>SI</t>
        </is>
      </c>
    </row>
    <row r="38" ht="16" customHeight="1">
      <c r="A38" s="307" t="n">
        <v>35</v>
      </c>
      <c r="B38" s="308" t="inlineStr">
        <is>
          <t>ER3D-WING-001-F-2004</t>
        </is>
      </c>
      <c r="C38" s="308" t="inlineStr">
        <is>
          <t>Alerones F1 delanteros - F-2004</t>
        </is>
      </c>
      <c r="D38" s="302" t="inlineStr">
        <is>
          <t>PERSONALIZADOS</t>
        </is>
      </c>
      <c r="E38" s="308" t="inlineStr">
        <is>
          <t>A medida</t>
        </is>
      </c>
      <c r="F38" s="305" t="inlineStr">
        <is>
          <t>Variante</t>
        </is>
      </c>
      <c r="G38" s="308" t="inlineStr">
        <is>
          <t>F-2004</t>
        </is>
      </c>
      <c r="H38" s="290" t="n">
        <v>0</v>
      </c>
      <c r="I38" s="290" t="n">
        <v>0</v>
      </c>
      <c r="J38" s="290" t="n">
        <v>0</v>
      </c>
      <c r="K38" s="290" t="n">
        <v>0</v>
      </c>
      <c r="L38" s="290" t="n">
        <v>0</v>
      </c>
      <c r="M38" s="291">
        <f>H38+I38+J38+K38+L38</f>
        <v/>
      </c>
      <c r="N38" s="292" t="n">
        <v>3200</v>
      </c>
      <c r="O38" s="309" t="n"/>
      <c r="P38" s="294">
        <f>IF(N38&gt;0,N38-M38,0)</f>
        <v/>
      </c>
      <c r="Q38" s="295">
        <f>IF(N38&gt;0,P38/N38*100,0)</f>
        <v/>
      </c>
      <c r="R38" s="307" t="n">
        <v>0</v>
      </c>
      <c r="S38" s="307" t="n">
        <v>0</v>
      </c>
      <c r="T38" s="296" t="inlineStr">
        <is>
          <t>SI</t>
        </is>
      </c>
    </row>
    <row r="39" ht="16" customHeight="1">
      <c r="A39" s="303" t="n">
        <v>36</v>
      </c>
      <c r="B39" s="304" t="inlineStr">
        <is>
          <t>ER3D-WING-001-MERCEDES</t>
        </is>
      </c>
      <c r="C39" s="304" t="inlineStr">
        <is>
          <t>Alerones F1 delanteros - Mercedes</t>
        </is>
      </c>
      <c r="D39" s="302" t="inlineStr">
        <is>
          <t>PERSONALIZADOS</t>
        </is>
      </c>
      <c r="E39" s="304" t="inlineStr">
        <is>
          <t>A medida</t>
        </is>
      </c>
      <c r="F39" s="305" t="inlineStr">
        <is>
          <t>Variante</t>
        </is>
      </c>
      <c r="G39" s="304" t="inlineStr">
        <is>
          <t>Mercedes</t>
        </is>
      </c>
      <c r="H39" s="290" t="n">
        <v>0</v>
      </c>
      <c r="I39" s="290" t="n">
        <v>0</v>
      </c>
      <c r="J39" s="290" t="n">
        <v>0</v>
      </c>
      <c r="K39" s="290" t="n">
        <v>0</v>
      </c>
      <c r="L39" s="290" t="n">
        <v>0</v>
      </c>
      <c r="M39" s="291">
        <f>H39+I39+J39+K39+L39</f>
        <v/>
      </c>
      <c r="N39" s="292" t="n">
        <v>3200</v>
      </c>
      <c r="O39" s="306" t="n"/>
      <c r="P39" s="294">
        <f>IF(N39&gt;0,N39-M39,0)</f>
        <v/>
      </c>
      <c r="Q39" s="295">
        <f>IF(N39&gt;0,P39/N39*100,0)</f>
        <v/>
      </c>
      <c r="R39" s="303" t="n">
        <v>0</v>
      </c>
      <c r="S39" s="303" t="n">
        <v>0</v>
      </c>
      <c r="T39" s="296" t="inlineStr">
        <is>
          <t>SI</t>
        </is>
      </c>
    </row>
    <row r="40" ht="16" customHeight="1">
      <c r="A40" s="297" t="n">
        <v>37</v>
      </c>
      <c r="B40" s="298" t="inlineStr">
        <is>
          <t>ER3D-MATERA-F1-001</t>
        </is>
      </c>
      <c r="C40" s="298" t="inlineStr">
        <is>
          <t>Matera personalizada F1</t>
        </is>
      </c>
      <c r="D40" s="288" t="inlineStr">
        <is>
          <t>TERMOS Y BEBIDAS</t>
        </is>
      </c>
      <c r="E40" s="298" t="inlineStr">
        <is>
          <t>Materas</t>
        </is>
      </c>
      <c r="F40" s="289" t="inlineStr">
        <is>
          <t>Simple</t>
        </is>
      </c>
      <c r="G40" s="298" t="inlineStr"/>
      <c r="H40" s="290" t="n">
        <v>0</v>
      </c>
      <c r="I40" s="290" t="n">
        <v>0</v>
      </c>
      <c r="J40" s="290" t="n">
        <v>0</v>
      </c>
      <c r="K40" s="290" t="n">
        <v>0</v>
      </c>
      <c r="L40" s="290" t="n">
        <v>0</v>
      </c>
      <c r="M40" s="291">
        <f>H40+I40+J40+K40+L40</f>
        <v/>
      </c>
      <c r="N40" s="292" t="n">
        <v>1890</v>
      </c>
      <c r="O40" s="300" t="n"/>
      <c r="P40" s="294">
        <f>IF(N40&gt;0,N40-M40,0)</f>
        <v/>
      </c>
      <c r="Q40" s="295">
        <f>IF(N40&gt;0,P40/N40*100,0)</f>
        <v/>
      </c>
      <c r="R40" s="297" t="n">
        <v>0</v>
      </c>
      <c r="S40" s="297" t="n">
        <v>0</v>
      </c>
      <c r="T40" s="296" t="inlineStr">
        <is>
          <t>SI</t>
        </is>
      </c>
    </row>
    <row r="41" ht="16" customHeight="1">
      <c r="A41" s="286" t="n">
        <v>38</v>
      </c>
      <c r="B41" s="287" t="inlineStr">
        <is>
          <t>ER3D-MATERA-FUT-001</t>
        </is>
      </c>
      <c r="C41" s="287" t="inlineStr">
        <is>
          <t>Matera personalizada fútbol</t>
        </is>
      </c>
      <c r="D41" s="288" t="inlineStr">
        <is>
          <t>TERMOS Y BEBIDAS</t>
        </is>
      </c>
      <c r="E41" s="287" t="inlineStr">
        <is>
          <t>Materas</t>
        </is>
      </c>
      <c r="F41" s="289" t="inlineStr">
        <is>
          <t>Simple</t>
        </is>
      </c>
      <c r="G41" s="287" t="inlineStr"/>
      <c r="H41" s="290" t="n">
        <v>0</v>
      </c>
      <c r="I41" s="290" t="n">
        <v>0</v>
      </c>
      <c r="J41" s="290" t="n">
        <v>0</v>
      </c>
      <c r="K41" s="290" t="n">
        <v>0</v>
      </c>
      <c r="L41" s="290" t="n">
        <v>0</v>
      </c>
      <c r="M41" s="291">
        <f>H41+I41+J41+K41+L41</f>
        <v/>
      </c>
      <c r="N41" s="292" t="n">
        <v>1890</v>
      </c>
      <c r="O41" s="293" t="n"/>
      <c r="P41" s="294">
        <f>IF(N41&gt;0,N41-M41,0)</f>
        <v/>
      </c>
      <c r="Q41" s="295">
        <f>IF(N41&gt;0,P41/N41*100,0)</f>
        <v/>
      </c>
      <c r="R41" s="286" t="n">
        <v>0</v>
      </c>
      <c r="S41" s="286" t="n">
        <v>0</v>
      </c>
      <c r="T41" s="296" t="inlineStr">
        <is>
          <t>SI</t>
        </is>
      </c>
    </row>
    <row r="42" ht="18" customHeight="1">
      <c r="A42" s="285" t="inlineStr">
        <is>
          <t>▶  VASO TÉRMICO 600 ML F1  ·  SKU padre: ER3D-VASO-600-F1-001  ·  TERMOS Y BEBIDAS  ·  Variantes: Ferrari, Mercedes, Red Bull, Max Verstappen 2026, Max Verstappen, Lata Red Bull Max, Senna Casco Plateado, Senna Casco, Senna Fotos, Sainz Williams, Lando Norris, McLaren, Charles Leclerc, Hamilton, Alonso Aston Martin, Bottas Cadillac, Checo Cadillac, Senna Vintage</t>
        </is>
      </c>
    </row>
    <row r="43" ht="16" customHeight="1">
      <c r="A43" s="303" t="n">
        <v>40</v>
      </c>
      <c r="B43" s="304" t="inlineStr">
        <is>
          <t>ER3D-VASO-600-F1-001-FERRARI</t>
        </is>
      </c>
      <c r="C43" s="304" t="inlineStr">
        <is>
          <t>Vaso térmico 600 ml F1 - Ferrari</t>
        </is>
      </c>
      <c r="D43" s="288" t="inlineStr">
        <is>
          <t>TERMOS Y BEBIDAS</t>
        </is>
      </c>
      <c r="E43" s="304" t="inlineStr">
        <is>
          <t>Vasos Térmicos</t>
        </is>
      </c>
      <c r="F43" s="305" t="inlineStr">
        <is>
          <t>Variante</t>
        </is>
      </c>
      <c r="G43" s="304" t="inlineStr">
        <is>
          <t>Ferrari</t>
        </is>
      </c>
      <c r="H43" s="290" t="n">
        <v>0</v>
      </c>
      <c r="I43" s="290" t="n">
        <v>0</v>
      </c>
      <c r="J43" s="290" t="n">
        <v>0</v>
      </c>
      <c r="K43" s="290" t="n">
        <v>0</v>
      </c>
      <c r="L43" s="290" t="n">
        <v>0</v>
      </c>
      <c r="M43" s="291">
        <f>H43+I43+J43+K43+L43</f>
        <v/>
      </c>
      <c r="N43" s="292" t="n">
        <v>990</v>
      </c>
      <c r="O43" s="306" t="n"/>
      <c r="P43" s="294">
        <f>IF(N43&gt;0,N43-M43,0)</f>
        <v/>
      </c>
      <c r="Q43" s="295">
        <f>IF(N43&gt;0,P43/N43*100,0)</f>
        <v/>
      </c>
      <c r="R43" s="303" t="n">
        <v>0</v>
      </c>
      <c r="S43" s="303" t="n">
        <v>0</v>
      </c>
      <c r="T43" s="296" t="inlineStr">
        <is>
          <t>SI</t>
        </is>
      </c>
    </row>
    <row r="44" ht="16" customHeight="1">
      <c r="A44" s="307" t="n">
        <v>41</v>
      </c>
      <c r="B44" s="308" t="inlineStr">
        <is>
          <t>ER3D-VASO-600-F1-001-MERCEDES</t>
        </is>
      </c>
      <c r="C44" s="308" t="inlineStr">
        <is>
          <t>Vaso térmico 600 ml F1 - Mercedes</t>
        </is>
      </c>
      <c r="D44" s="288" t="inlineStr">
        <is>
          <t>TERMOS Y BEBIDAS</t>
        </is>
      </c>
      <c r="E44" s="308" t="inlineStr">
        <is>
          <t>Vasos Térmicos</t>
        </is>
      </c>
      <c r="F44" s="305" t="inlineStr">
        <is>
          <t>Variante</t>
        </is>
      </c>
      <c r="G44" s="308" t="inlineStr">
        <is>
          <t>Mercedes</t>
        </is>
      </c>
      <c r="H44" s="290" t="n">
        <v>0</v>
      </c>
      <c r="I44" s="290" t="n">
        <v>0</v>
      </c>
      <c r="J44" s="290" t="n">
        <v>0</v>
      </c>
      <c r="K44" s="290" t="n">
        <v>0</v>
      </c>
      <c r="L44" s="290" t="n">
        <v>0</v>
      </c>
      <c r="M44" s="291">
        <f>H44+I44+J44+K44+L44</f>
        <v/>
      </c>
      <c r="N44" s="292" t="n">
        <v>990</v>
      </c>
      <c r="O44" s="309" t="n"/>
      <c r="P44" s="294">
        <f>IF(N44&gt;0,N44-M44,0)</f>
        <v/>
      </c>
      <c r="Q44" s="295">
        <f>IF(N44&gt;0,P44/N44*100,0)</f>
        <v/>
      </c>
      <c r="R44" s="307" t="n">
        <v>0</v>
      </c>
      <c r="S44" s="307" t="n">
        <v>0</v>
      </c>
      <c r="T44" s="296" t="inlineStr">
        <is>
          <t>SI</t>
        </is>
      </c>
    </row>
    <row r="45" ht="16" customHeight="1">
      <c r="A45" s="303" t="n">
        <v>42</v>
      </c>
      <c r="B45" s="304" t="inlineStr">
        <is>
          <t>ER3D-VASO-600-F1-001-RED-BULL</t>
        </is>
      </c>
      <c r="C45" s="304" t="inlineStr">
        <is>
          <t>Vaso térmico 600 ml F1 - Red Bull</t>
        </is>
      </c>
      <c r="D45" s="288" t="inlineStr">
        <is>
          <t>TERMOS Y BEBIDAS</t>
        </is>
      </c>
      <c r="E45" s="304" t="inlineStr">
        <is>
          <t>Vasos Térmicos</t>
        </is>
      </c>
      <c r="F45" s="305" t="inlineStr">
        <is>
          <t>Variante</t>
        </is>
      </c>
      <c r="G45" s="304" t="inlineStr">
        <is>
          <t>Red Bull</t>
        </is>
      </c>
      <c r="H45" s="290" t="n">
        <v>0</v>
      </c>
      <c r="I45" s="290" t="n">
        <v>0</v>
      </c>
      <c r="J45" s="290" t="n">
        <v>0</v>
      </c>
      <c r="K45" s="290" t="n">
        <v>0</v>
      </c>
      <c r="L45" s="290" t="n">
        <v>0</v>
      </c>
      <c r="M45" s="291">
        <f>H45+I45+J45+K45+L45</f>
        <v/>
      </c>
      <c r="N45" s="292" t="n">
        <v>990</v>
      </c>
      <c r="O45" s="306" t="n"/>
      <c r="P45" s="294">
        <f>IF(N45&gt;0,N45-M45,0)</f>
        <v/>
      </c>
      <c r="Q45" s="295">
        <f>IF(N45&gt;0,P45/N45*100,0)</f>
        <v/>
      </c>
      <c r="R45" s="303" t="n">
        <v>0</v>
      </c>
      <c r="S45" s="303" t="n">
        <v>0</v>
      </c>
      <c r="T45" s="310" t="inlineStr">
        <is>
          <t>NO</t>
        </is>
      </c>
    </row>
    <row r="46" ht="16" customHeight="1">
      <c r="A46" s="307" t="n">
        <v>43</v>
      </c>
      <c r="B46" s="308" t="inlineStr">
        <is>
          <t>ER3D-VASO-600-F1-001-MAX-VERSTA</t>
        </is>
      </c>
      <c r="C46" s="308" t="inlineStr">
        <is>
          <t>Vaso térmico 600 ml F1 - Max Verstappen 2026</t>
        </is>
      </c>
      <c r="D46" s="288" t="inlineStr">
        <is>
          <t>TERMOS Y BEBIDAS</t>
        </is>
      </c>
      <c r="E46" s="308" t="inlineStr">
        <is>
          <t>Vasos Térmicos</t>
        </is>
      </c>
      <c r="F46" s="305" t="inlineStr">
        <is>
          <t>Variante</t>
        </is>
      </c>
      <c r="G46" s="308" t="inlineStr">
        <is>
          <t>Max Verstappen 2026</t>
        </is>
      </c>
      <c r="H46" s="290" t="n">
        <v>0</v>
      </c>
      <c r="I46" s="290" t="n">
        <v>0</v>
      </c>
      <c r="J46" s="290" t="n">
        <v>0</v>
      </c>
      <c r="K46" s="290" t="n">
        <v>0</v>
      </c>
      <c r="L46" s="290" t="n">
        <v>0</v>
      </c>
      <c r="M46" s="291">
        <f>H46+I46+J46+K46+L46</f>
        <v/>
      </c>
      <c r="N46" s="292" t="n">
        <v>990</v>
      </c>
      <c r="O46" s="309" t="n"/>
      <c r="P46" s="294">
        <f>IF(N46&gt;0,N46-M46,0)</f>
        <v/>
      </c>
      <c r="Q46" s="295">
        <f>IF(N46&gt;0,P46/N46*100,0)</f>
        <v/>
      </c>
      <c r="R46" s="307" t="n">
        <v>0</v>
      </c>
      <c r="S46" s="307" t="n">
        <v>0</v>
      </c>
      <c r="T46" s="296" t="inlineStr">
        <is>
          <t>SI</t>
        </is>
      </c>
    </row>
    <row r="47" ht="16" customHeight="1">
      <c r="A47" s="303" t="n">
        <v>44</v>
      </c>
      <c r="B47" s="304" t="inlineStr">
        <is>
          <t>ER3D-VASO-600-F1-001-MAX-VERSTA</t>
        </is>
      </c>
      <c r="C47" s="304" t="inlineStr">
        <is>
          <t>Vaso térmico 600 ml F1 - Max Verstappen</t>
        </is>
      </c>
      <c r="D47" s="288" t="inlineStr">
        <is>
          <t>TERMOS Y BEBIDAS</t>
        </is>
      </c>
      <c r="E47" s="304" t="inlineStr">
        <is>
          <t>Vasos Térmicos</t>
        </is>
      </c>
      <c r="F47" s="305" t="inlineStr">
        <is>
          <t>Variante</t>
        </is>
      </c>
      <c r="G47" s="304" t="inlineStr">
        <is>
          <t>Max Verstappen</t>
        </is>
      </c>
      <c r="H47" s="290" t="n">
        <v>0</v>
      </c>
      <c r="I47" s="290" t="n">
        <v>0</v>
      </c>
      <c r="J47" s="290" t="n">
        <v>0</v>
      </c>
      <c r="K47" s="290" t="n">
        <v>0</v>
      </c>
      <c r="L47" s="290" t="n">
        <v>0</v>
      </c>
      <c r="M47" s="291">
        <f>H47+I47+J47+K47+L47</f>
        <v/>
      </c>
      <c r="N47" s="292" t="n">
        <v>990</v>
      </c>
      <c r="O47" s="306" t="n"/>
      <c r="P47" s="294">
        <f>IF(N47&gt;0,N47-M47,0)</f>
        <v/>
      </c>
      <c r="Q47" s="295">
        <f>IF(N47&gt;0,P47/N47*100,0)</f>
        <v/>
      </c>
      <c r="R47" s="303" t="n">
        <v>0</v>
      </c>
      <c r="S47" s="303" t="n">
        <v>0</v>
      </c>
      <c r="T47" s="296" t="inlineStr">
        <is>
          <t>SI</t>
        </is>
      </c>
    </row>
    <row r="48" ht="16" customHeight="1">
      <c r="A48" s="307" t="n">
        <v>45</v>
      </c>
      <c r="B48" s="308" t="inlineStr">
        <is>
          <t>ER3D-VASO-600-F1-001-SENNA-CASC</t>
        </is>
      </c>
      <c r="C48" s="308" t="inlineStr">
        <is>
          <t>Vaso térmico 600 ml F1 - Senna Casco Plateado</t>
        </is>
      </c>
      <c r="D48" s="288" t="inlineStr">
        <is>
          <t>TERMOS Y BEBIDAS</t>
        </is>
      </c>
      <c r="E48" s="308" t="inlineStr">
        <is>
          <t>Vasos Térmicos</t>
        </is>
      </c>
      <c r="F48" s="305" t="inlineStr">
        <is>
          <t>Variante</t>
        </is>
      </c>
      <c r="G48" s="308" t="inlineStr">
        <is>
          <t>Senna Casco Plateado</t>
        </is>
      </c>
      <c r="H48" s="290" t="n">
        <v>0</v>
      </c>
      <c r="I48" s="290" t="n">
        <v>0</v>
      </c>
      <c r="J48" s="290" t="n">
        <v>0</v>
      </c>
      <c r="K48" s="290" t="n">
        <v>0</v>
      </c>
      <c r="L48" s="290" t="n">
        <v>0</v>
      </c>
      <c r="M48" s="291">
        <f>H48+I48+J48+K48+L48</f>
        <v/>
      </c>
      <c r="N48" s="292" t="n">
        <v>990</v>
      </c>
      <c r="O48" s="309" t="n"/>
      <c r="P48" s="294">
        <f>IF(N48&gt;0,N48-M48,0)</f>
        <v/>
      </c>
      <c r="Q48" s="295">
        <f>IF(N48&gt;0,P48/N48*100,0)</f>
        <v/>
      </c>
      <c r="R48" s="307" t="n">
        <v>0</v>
      </c>
      <c r="S48" s="307" t="n">
        <v>0</v>
      </c>
      <c r="T48" s="296" t="inlineStr">
        <is>
          <t>SI</t>
        </is>
      </c>
    </row>
    <row r="49" ht="16" customHeight="1">
      <c r="A49" s="303" t="n">
        <v>46</v>
      </c>
      <c r="B49" s="304" t="inlineStr">
        <is>
          <t>ER3D-VASO-600-F1-001-SENNA-CASC</t>
        </is>
      </c>
      <c r="C49" s="304" t="inlineStr">
        <is>
          <t>Vaso térmico 600 ml F1 - Senna Casco</t>
        </is>
      </c>
      <c r="D49" s="288" t="inlineStr">
        <is>
          <t>TERMOS Y BEBIDAS</t>
        </is>
      </c>
      <c r="E49" s="304" t="inlineStr">
        <is>
          <t>Vasos Térmicos</t>
        </is>
      </c>
      <c r="F49" s="305" t="inlineStr">
        <is>
          <t>Variante</t>
        </is>
      </c>
      <c r="G49" s="304" t="inlineStr">
        <is>
          <t>Senna Casco</t>
        </is>
      </c>
      <c r="H49" s="290" t="n">
        <v>0</v>
      </c>
      <c r="I49" s="290" t="n">
        <v>0</v>
      </c>
      <c r="J49" s="290" t="n">
        <v>0</v>
      </c>
      <c r="K49" s="290" t="n">
        <v>0</v>
      </c>
      <c r="L49" s="290" t="n">
        <v>0</v>
      </c>
      <c r="M49" s="291">
        <f>H49+I49+J49+K49+L49</f>
        <v/>
      </c>
      <c r="N49" s="292" t="n">
        <v>990</v>
      </c>
      <c r="O49" s="306" t="n"/>
      <c r="P49" s="294">
        <f>IF(N49&gt;0,N49-M49,0)</f>
        <v/>
      </c>
      <c r="Q49" s="295">
        <f>IF(N49&gt;0,P49/N49*100,0)</f>
        <v/>
      </c>
      <c r="R49" s="303" t="n">
        <v>0</v>
      </c>
      <c r="S49" s="303" t="n">
        <v>0</v>
      </c>
      <c r="T49" s="296" t="inlineStr">
        <is>
          <t>SI</t>
        </is>
      </c>
    </row>
    <row r="50" ht="16" customHeight="1">
      <c r="A50" s="307" t="n">
        <v>47</v>
      </c>
      <c r="B50" s="308" t="inlineStr">
        <is>
          <t>ER3D-VASO-600-F1-001-SENNA-FOTO</t>
        </is>
      </c>
      <c r="C50" s="308" t="inlineStr">
        <is>
          <t>Vaso térmico 600 ml F1 - Senna Fotos</t>
        </is>
      </c>
      <c r="D50" s="288" t="inlineStr">
        <is>
          <t>TERMOS Y BEBIDAS</t>
        </is>
      </c>
      <c r="E50" s="308" t="inlineStr">
        <is>
          <t>Vasos Térmicos</t>
        </is>
      </c>
      <c r="F50" s="305" t="inlineStr">
        <is>
          <t>Variante</t>
        </is>
      </c>
      <c r="G50" s="308" t="inlineStr">
        <is>
          <t>Senna Fotos</t>
        </is>
      </c>
      <c r="H50" s="290" t="n">
        <v>0</v>
      </c>
      <c r="I50" s="290" t="n">
        <v>0</v>
      </c>
      <c r="J50" s="290" t="n">
        <v>0</v>
      </c>
      <c r="K50" s="290" t="n">
        <v>0</v>
      </c>
      <c r="L50" s="290" t="n">
        <v>0</v>
      </c>
      <c r="M50" s="291">
        <f>H50+I50+J50+K50+L50</f>
        <v/>
      </c>
      <c r="N50" s="292" t="n">
        <v>990</v>
      </c>
      <c r="O50" s="309" t="n"/>
      <c r="P50" s="294">
        <f>IF(N50&gt;0,N50-M50,0)</f>
        <v/>
      </c>
      <c r="Q50" s="295">
        <f>IF(N50&gt;0,P50/N50*100,0)</f>
        <v/>
      </c>
      <c r="R50" s="307" t="n">
        <v>0</v>
      </c>
      <c r="S50" s="307" t="n">
        <v>0</v>
      </c>
      <c r="T50" s="296" t="inlineStr">
        <is>
          <t>SI</t>
        </is>
      </c>
    </row>
    <row r="51" ht="16" customHeight="1">
      <c r="A51" s="303" t="n">
        <v>48</v>
      </c>
      <c r="B51" s="304" t="inlineStr">
        <is>
          <t>ER3D-VASO-600-F1-001-SAINZ-WILL</t>
        </is>
      </c>
      <c r="C51" s="304" t="inlineStr">
        <is>
          <t>Vaso térmico 600 ml F1 - Sainz Williams</t>
        </is>
      </c>
      <c r="D51" s="288" t="inlineStr">
        <is>
          <t>TERMOS Y BEBIDAS</t>
        </is>
      </c>
      <c r="E51" s="304" t="inlineStr">
        <is>
          <t>Vasos Térmicos</t>
        </is>
      </c>
      <c r="F51" s="305" t="inlineStr">
        <is>
          <t>Variante</t>
        </is>
      </c>
      <c r="G51" s="304" t="inlineStr">
        <is>
          <t>Sainz Williams</t>
        </is>
      </c>
      <c r="H51" s="290" t="n">
        <v>0</v>
      </c>
      <c r="I51" s="290" t="n">
        <v>0</v>
      </c>
      <c r="J51" s="290" t="n">
        <v>0</v>
      </c>
      <c r="K51" s="290" t="n">
        <v>0</v>
      </c>
      <c r="L51" s="290" t="n">
        <v>0</v>
      </c>
      <c r="M51" s="291">
        <f>H51+I51+J51+K51+L51</f>
        <v/>
      </c>
      <c r="N51" s="292" t="n">
        <v>990</v>
      </c>
      <c r="O51" s="306" t="n"/>
      <c r="P51" s="294">
        <f>IF(N51&gt;0,N51-M51,0)</f>
        <v/>
      </c>
      <c r="Q51" s="295">
        <f>IF(N51&gt;0,P51/N51*100,0)</f>
        <v/>
      </c>
      <c r="R51" s="303" t="n">
        <v>0</v>
      </c>
      <c r="S51" s="303" t="n">
        <v>0</v>
      </c>
      <c r="T51" s="296" t="inlineStr">
        <is>
          <t>SI</t>
        </is>
      </c>
    </row>
    <row r="52" ht="16" customHeight="1">
      <c r="A52" s="307" t="n">
        <v>49</v>
      </c>
      <c r="B52" s="308" t="inlineStr">
        <is>
          <t>ER3D-VASO-600-F1-001-LANDO-NORR</t>
        </is>
      </c>
      <c r="C52" s="308" t="inlineStr">
        <is>
          <t>Vaso térmico 600 ml F1 - Lando Norris</t>
        </is>
      </c>
      <c r="D52" s="288" t="inlineStr">
        <is>
          <t>TERMOS Y BEBIDAS</t>
        </is>
      </c>
      <c r="E52" s="308" t="inlineStr">
        <is>
          <t>Vasos Térmicos</t>
        </is>
      </c>
      <c r="F52" s="305" t="inlineStr">
        <is>
          <t>Variante</t>
        </is>
      </c>
      <c r="G52" s="308" t="inlineStr">
        <is>
          <t>Lando Norris</t>
        </is>
      </c>
      <c r="H52" s="290" t="n">
        <v>0</v>
      </c>
      <c r="I52" s="290" t="n">
        <v>0</v>
      </c>
      <c r="J52" s="290" t="n">
        <v>0</v>
      </c>
      <c r="K52" s="290" t="n">
        <v>0</v>
      </c>
      <c r="L52" s="290" t="n">
        <v>0</v>
      </c>
      <c r="M52" s="291">
        <f>H52+I52+J52+K52+L52</f>
        <v/>
      </c>
      <c r="N52" s="292" t="n">
        <v>990</v>
      </c>
      <c r="O52" s="309" t="n"/>
      <c r="P52" s="294">
        <f>IF(N52&gt;0,N52-M52,0)</f>
        <v/>
      </c>
      <c r="Q52" s="295">
        <f>IF(N52&gt;0,P52/N52*100,0)</f>
        <v/>
      </c>
      <c r="R52" s="307" t="n">
        <v>0</v>
      </c>
      <c r="S52" s="307" t="n">
        <v>0</v>
      </c>
      <c r="T52" s="296" t="inlineStr">
        <is>
          <t>SI</t>
        </is>
      </c>
    </row>
    <row r="53" ht="16" customHeight="1">
      <c r="A53" s="303" t="n">
        <v>50</v>
      </c>
      <c r="B53" s="304" t="inlineStr">
        <is>
          <t>ER3D-VASO-600-F1-001-CHARLES-LE</t>
        </is>
      </c>
      <c r="C53" s="304" t="inlineStr">
        <is>
          <t>Vaso térmico 600 ml F1 - Charles Leclerc</t>
        </is>
      </c>
      <c r="D53" s="288" t="inlineStr">
        <is>
          <t>TERMOS Y BEBIDAS</t>
        </is>
      </c>
      <c r="E53" s="304" t="inlineStr">
        <is>
          <t>Vasos Térmicos</t>
        </is>
      </c>
      <c r="F53" s="305" t="inlineStr">
        <is>
          <t>Variante</t>
        </is>
      </c>
      <c r="G53" s="304" t="inlineStr">
        <is>
          <t>Charles Leclerc</t>
        </is>
      </c>
      <c r="H53" s="290" t="n">
        <v>0</v>
      </c>
      <c r="I53" s="290" t="n">
        <v>0</v>
      </c>
      <c r="J53" s="290" t="n">
        <v>0</v>
      </c>
      <c r="K53" s="290" t="n">
        <v>0</v>
      </c>
      <c r="L53" s="290" t="n">
        <v>0</v>
      </c>
      <c r="M53" s="291">
        <f>H53+I53+J53+K53+L53</f>
        <v/>
      </c>
      <c r="N53" s="292" t="n">
        <v>990</v>
      </c>
      <c r="O53" s="306" t="n"/>
      <c r="P53" s="294">
        <f>IF(N53&gt;0,N53-M53,0)</f>
        <v/>
      </c>
      <c r="Q53" s="295">
        <f>IF(N53&gt;0,P53/N53*100,0)</f>
        <v/>
      </c>
      <c r="R53" s="303" t="n">
        <v>0</v>
      </c>
      <c r="S53" s="303" t="n">
        <v>0</v>
      </c>
      <c r="T53" s="296" t="inlineStr">
        <is>
          <t>SI</t>
        </is>
      </c>
    </row>
    <row r="54" ht="16" customHeight="1">
      <c r="A54" s="307" t="n">
        <v>51</v>
      </c>
      <c r="B54" s="308" t="inlineStr">
        <is>
          <t>ER3D-VASO-600-F1-001-ALONSO-AST</t>
        </is>
      </c>
      <c r="C54" s="308" t="inlineStr">
        <is>
          <t>Vaso térmico 600 ml F1 - Alonso Aston Martin</t>
        </is>
      </c>
      <c r="D54" s="288" t="inlineStr">
        <is>
          <t>TERMOS Y BEBIDAS</t>
        </is>
      </c>
      <c r="E54" s="308" t="inlineStr">
        <is>
          <t>Vasos Térmicos</t>
        </is>
      </c>
      <c r="F54" s="305" t="inlineStr">
        <is>
          <t>Variante</t>
        </is>
      </c>
      <c r="G54" s="308" t="inlineStr">
        <is>
          <t>Alonso Aston Martin</t>
        </is>
      </c>
      <c r="H54" s="290" t="n">
        <v>0</v>
      </c>
      <c r="I54" s="290" t="n">
        <v>0</v>
      </c>
      <c r="J54" s="290" t="n">
        <v>0</v>
      </c>
      <c r="K54" s="290" t="n">
        <v>0</v>
      </c>
      <c r="L54" s="290" t="n">
        <v>0</v>
      </c>
      <c r="M54" s="291">
        <f>H54+I54+J54+K54+L54</f>
        <v/>
      </c>
      <c r="N54" s="292" t="n">
        <v>990</v>
      </c>
      <c r="O54" s="309" t="n"/>
      <c r="P54" s="294">
        <f>IF(N54&gt;0,N54-M54,0)</f>
        <v/>
      </c>
      <c r="Q54" s="295">
        <f>IF(N54&gt;0,P54/N54*100,0)</f>
        <v/>
      </c>
      <c r="R54" s="307" t="n">
        <v>0</v>
      </c>
      <c r="S54" s="307" t="n">
        <v>0</v>
      </c>
      <c r="T54" s="296" t="inlineStr">
        <is>
          <t>SI</t>
        </is>
      </c>
    </row>
    <row r="55" ht="16" customHeight="1">
      <c r="A55" s="303" t="n">
        <v>52</v>
      </c>
      <c r="B55" s="304" t="inlineStr">
        <is>
          <t>ER3D-VASO-600-F1-001-CHECO-CADI</t>
        </is>
      </c>
      <c r="C55" s="304" t="inlineStr">
        <is>
          <t>Vaso térmico 600 ml F1 - Checo Cadillac</t>
        </is>
      </c>
      <c r="D55" s="288" t="inlineStr">
        <is>
          <t>TERMOS Y BEBIDAS</t>
        </is>
      </c>
      <c r="E55" s="304" t="inlineStr">
        <is>
          <t>Vasos Térmicos</t>
        </is>
      </c>
      <c r="F55" s="305" t="inlineStr">
        <is>
          <t>Variante</t>
        </is>
      </c>
      <c r="G55" s="304" t="inlineStr">
        <is>
          <t>Checo Cadillac</t>
        </is>
      </c>
      <c r="H55" s="290" t="n">
        <v>0</v>
      </c>
      <c r="I55" s="290" t="n">
        <v>0</v>
      </c>
      <c r="J55" s="290" t="n">
        <v>0</v>
      </c>
      <c r="K55" s="290" t="n">
        <v>0</v>
      </c>
      <c r="L55" s="290" t="n">
        <v>0</v>
      </c>
      <c r="M55" s="291">
        <f>H55+I55+J55+K55+L55</f>
        <v/>
      </c>
      <c r="N55" s="292" t="n">
        <v>990</v>
      </c>
      <c r="O55" s="306" t="n"/>
      <c r="P55" s="294">
        <f>IF(N55&gt;0,N55-M55,0)</f>
        <v/>
      </c>
      <c r="Q55" s="295">
        <f>IF(N55&gt;0,P55/N55*100,0)</f>
        <v/>
      </c>
      <c r="R55" s="303" t="n">
        <v>0</v>
      </c>
      <c r="S55" s="303" t="n">
        <v>0</v>
      </c>
      <c r="T55" s="296" t="inlineStr">
        <is>
          <t>SI</t>
        </is>
      </c>
    </row>
    <row r="56" ht="16" customHeight="1">
      <c r="A56" s="307" t="n">
        <v>53</v>
      </c>
      <c r="B56" s="308" t="inlineStr">
        <is>
          <t>ER3D-VASO-600-F1-001-BOTTAS-CAD</t>
        </is>
      </c>
      <c r="C56" s="308" t="inlineStr">
        <is>
          <t>Vaso térmico 600 ml F1 - Bottas Cadillac</t>
        </is>
      </c>
      <c r="D56" s="288" t="inlineStr">
        <is>
          <t>TERMOS Y BEBIDAS</t>
        </is>
      </c>
      <c r="E56" s="308" t="inlineStr">
        <is>
          <t>Vasos Térmicos</t>
        </is>
      </c>
      <c r="F56" s="305" t="inlineStr">
        <is>
          <t>Variante</t>
        </is>
      </c>
      <c r="G56" s="308" t="inlineStr">
        <is>
          <t>Bottas Cadillac</t>
        </is>
      </c>
      <c r="H56" s="290" t="n">
        <v>0</v>
      </c>
      <c r="I56" s="290" t="n">
        <v>0</v>
      </c>
      <c r="J56" s="290" t="n">
        <v>0</v>
      </c>
      <c r="K56" s="290" t="n">
        <v>0</v>
      </c>
      <c r="L56" s="290" t="n">
        <v>0</v>
      </c>
      <c r="M56" s="291">
        <f>H56+I56+J56+K56+L56</f>
        <v/>
      </c>
      <c r="N56" s="292" t="n">
        <v>990</v>
      </c>
      <c r="O56" s="309" t="n"/>
      <c r="P56" s="294">
        <f>IF(N56&gt;0,N56-M56,0)</f>
        <v/>
      </c>
      <c r="Q56" s="295">
        <f>IF(N56&gt;0,P56/N56*100,0)</f>
        <v/>
      </c>
      <c r="R56" s="307" t="n">
        <v>0</v>
      </c>
      <c r="S56" s="307" t="n">
        <v>0</v>
      </c>
      <c r="T56" s="296" t="inlineStr">
        <is>
          <t>SI</t>
        </is>
      </c>
    </row>
    <row r="57" ht="16" customHeight="1">
      <c r="A57" s="303" t="n">
        <v>54</v>
      </c>
      <c r="B57" s="304" t="inlineStr">
        <is>
          <t>ER3D-HOODIE-001-SENNA-MP44</t>
        </is>
      </c>
      <c r="C57" s="304" t="inlineStr">
        <is>
          <t>Hoodie escuderías — Senna MP4/4</t>
        </is>
      </c>
      <c r="D57" s="311" t="inlineStr">
        <is>
          <t>INDUMENTARIA</t>
        </is>
      </c>
      <c r="E57" s="304" t="inlineStr">
        <is>
          <t>Hoodies &amp; Ropa</t>
        </is>
      </c>
      <c r="F57" s="305" t="inlineStr">
        <is>
          <t>Variante</t>
        </is>
      </c>
      <c r="G57" s="304" t="inlineStr">
        <is>
          <t>Senna MP4/4</t>
        </is>
      </c>
      <c r="H57" s="290" t="n">
        <v>0</v>
      </c>
      <c r="I57" s="290" t="n">
        <v>0</v>
      </c>
      <c r="J57" s="290" t="n">
        <v>0</v>
      </c>
      <c r="K57" s="290" t="n">
        <v>0</v>
      </c>
      <c r="L57" s="290" t="n">
        <v>0</v>
      </c>
      <c r="M57" s="291">
        <f>H57+I57+J57+K57+L57</f>
        <v/>
      </c>
      <c r="N57" s="292" t="n">
        <v>1890</v>
      </c>
      <c r="O57" s="306" t="n"/>
      <c r="P57" s="294">
        <f>IF(N57&gt;0,N57-M57,0)</f>
        <v/>
      </c>
      <c r="Q57" s="295">
        <f>IF(N57&gt;0,P57/N57*100,0)</f>
        <v/>
      </c>
      <c r="R57" s="303" t="n">
        <v>0</v>
      </c>
      <c r="S57" s="303" t="n">
        <v>0</v>
      </c>
      <c r="T57" s="296" t="inlineStr">
        <is>
          <t>SI</t>
        </is>
      </c>
    </row>
    <row r="58" ht="16" customHeight="1">
      <c r="A58" s="307" t="n">
        <v>55</v>
      </c>
      <c r="B58" s="308" t="inlineStr">
        <is>
          <t>ER3D-HOODIE-001-SENNA-FOTO</t>
        </is>
      </c>
      <c r="C58" s="308" t="inlineStr">
        <is>
          <t>Hoodie escuderías — Senna Fotos</t>
        </is>
      </c>
      <c r="D58" s="311" t="inlineStr">
        <is>
          <t>INDUMENTARIA</t>
        </is>
      </c>
      <c r="E58" s="308" t="inlineStr">
        <is>
          <t>Hoodies &amp; Ropa</t>
        </is>
      </c>
      <c r="F58" s="305" t="inlineStr">
        <is>
          <t>Variante</t>
        </is>
      </c>
      <c r="G58" s="308" t="inlineStr">
        <is>
          <t>Senna Fotos</t>
        </is>
      </c>
      <c r="H58" s="290" t="n">
        <v>0</v>
      </c>
      <c r="I58" s="290" t="n">
        <v>0</v>
      </c>
      <c r="J58" s="290" t="n">
        <v>0</v>
      </c>
      <c r="K58" s="290" t="n">
        <v>0</v>
      </c>
      <c r="L58" s="290" t="n">
        <v>0</v>
      </c>
      <c r="M58" s="291">
        <f>H58+I58+J58+K58+L58</f>
        <v/>
      </c>
      <c r="N58" s="292" t="n">
        <v>1890</v>
      </c>
      <c r="O58" s="309" t="n"/>
      <c r="P58" s="294">
        <f>IF(N58&gt;0,N58-M58,0)</f>
        <v/>
      </c>
      <c r="Q58" s="295">
        <f>IF(N58&gt;0,P58/N58*100,0)</f>
        <v/>
      </c>
      <c r="R58" s="307" t="n">
        <v>0</v>
      </c>
      <c r="S58" s="307" t="n">
        <v>0</v>
      </c>
      <c r="T58" s="296" t="inlineStr">
        <is>
          <t>SI</t>
        </is>
      </c>
    </row>
    <row r="59" ht="16" customHeight="1">
      <c r="A59" s="303" t="n">
        <v>56</v>
      </c>
      <c r="B59" s="304" t="inlineStr">
        <is>
          <t>ER3D-HOODIE-001-FERRARI</t>
        </is>
      </c>
      <c r="C59" s="304" t="inlineStr">
        <is>
          <t>Hoodie escuderías — Ferrari</t>
        </is>
      </c>
      <c r="D59" s="311" t="inlineStr">
        <is>
          <t>INDUMENTARIA</t>
        </is>
      </c>
      <c r="E59" s="304" t="inlineStr">
        <is>
          <t>Hoodies &amp; Ropa</t>
        </is>
      </c>
      <c r="F59" s="305" t="inlineStr">
        <is>
          <t>Variante</t>
        </is>
      </c>
      <c r="G59" s="304" t="inlineStr">
        <is>
          <t>Ferrari</t>
        </is>
      </c>
      <c r="H59" s="290" t="n">
        <v>0</v>
      </c>
      <c r="I59" s="290" t="n">
        <v>0</v>
      </c>
      <c r="J59" s="290" t="n">
        <v>0</v>
      </c>
      <c r="K59" s="290" t="n">
        <v>0</v>
      </c>
      <c r="L59" s="290" t="n">
        <v>0</v>
      </c>
      <c r="M59" s="291">
        <f>H59+I59+J59+K59+L59</f>
        <v/>
      </c>
      <c r="N59" s="292" t="n">
        <v>1890</v>
      </c>
      <c r="O59" s="306" t="n"/>
      <c r="P59" s="294">
        <f>IF(N59&gt;0,N59-M59,0)</f>
        <v/>
      </c>
      <c r="Q59" s="295">
        <f>IF(N59&gt;0,P59/N59*100,0)</f>
        <v/>
      </c>
      <c r="R59" s="303" t="n">
        <v>0</v>
      </c>
      <c r="S59" s="303" t="n">
        <v>0</v>
      </c>
      <c r="T59" s="296" t="inlineStr">
        <is>
          <t>SI</t>
        </is>
      </c>
    </row>
    <row r="60" ht="16" customHeight="1">
      <c r="A60" s="307" t="n">
        <v>57</v>
      </c>
      <c r="B60" s="308" t="inlineStr">
        <is>
          <t>ER3D-HOODIE-001-MERCEDES</t>
        </is>
      </c>
      <c r="C60" s="308" t="inlineStr">
        <is>
          <t>Hoodie escuderías — Mercedes</t>
        </is>
      </c>
      <c r="D60" s="311" t="inlineStr">
        <is>
          <t>INDUMENTARIA</t>
        </is>
      </c>
      <c r="E60" s="308" t="inlineStr">
        <is>
          <t>Hoodies &amp; Ropa</t>
        </is>
      </c>
      <c r="F60" s="305" t="inlineStr">
        <is>
          <t>Variante</t>
        </is>
      </c>
      <c r="G60" s="308" t="inlineStr">
        <is>
          <t>Mercedes</t>
        </is>
      </c>
      <c r="H60" s="290" t="n">
        <v>0</v>
      </c>
      <c r="I60" s="290" t="n">
        <v>0</v>
      </c>
      <c r="J60" s="290" t="n">
        <v>0</v>
      </c>
      <c r="K60" s="290" t="n">
        <v>0</v>
      </c>
      <c r="L60" s="290" t="n">
        <v>0</v>
      </c>
      <c r="M60" s="291">
        <f>H60+I60+J60+K60+L60</f>
        <v/>
      </c>
      <c r="N60" s="292" t="n">
        <v>1890</v>
      </c>
      <c r="O60" s="309" t="n"/>
      <c r="P60" s="294">
        <f>IF(N60&gt;0,N60-M60,0)</f>
        <v/>
      </c>
      <c r="Q60" s="295">
        <f>IF(N60&gt;0,P60/N60*100,0)</f>
        <v/>
      </c>
      <c r="R60" s="307" t="n">
        <v>0</v>
      </c>
      <c r="S60" s="307" t="n">
        <v>0</v>
      </c>
      <c r="T60" s="296" t="inlineStr">
        <is>
          <t>SI</t>
        </is>
      </c>
    </row>
    <row r="61" ht="16" customHeight="1">
      <c r="A61" s="303" t="n">
        <v>58</v>
      </c>
      <c r="B61" s="304" t="inlineStr">
        <is>
          <t>ER3D-HOODIE-001-MCLAREN</t>
        </is>
      </c>
      <c r="C61" s="304" t="inlineStr">
        <is>
          <t>Hoodie escuderías — McLaren</t>
        </is>
      </c>
      <c r="D61" s="311" t="inlineStr">
        <is>
          <t>INDUMENTARIA</t>
        </is>
      </c>
      <c r="E61" s="304" t="inlineStr">
        <is>
          <t>Hoodies &amp; Ropa</t>
        </is>
      </c>
      <c r="F61" s="305" t="inlineStr">
        <is>
          <t>Variante</t>
        </is>
      </c>
      <c r="G61" s="304" t="inlineStr">
        <is>
          <t>McLaren</t>
        </is>
      </c>
      <c r="H61" s="290" t="n">
        <v>0</v>
      </c>
      <c r="I61" s="290" t="n">
        <v>0</v>
      </c>
      <c r="J61" s="290" t="n">
        <v>0</v>
      </c>
      <c r="K61" s="290" t="n">
        <v>0</v>
      </c>
      <c r="L61" s="290" t="n">
        <v>0</v>
      </c>
      <c r="M61" s="291">
        <f>H61+I61+J61+K61+L61</f>
        <v/>
      </c>
      <c r="N61" s="292" t="n">
        <v>1890</v>
      </c>
      <c r="O61" s="306" t="n"/>
      <c r="P61" s="294">
        <f>IF(N61&gt;0,N61-M61,0)</f>
        <v/>
      </c>
      <c r="Q61" s="295">
        <f>IF(N61&gt;0,P61/N61*100,0)</f>
        <v/>
      </c>
      <c r="R61" s="303" t="n">
        <v>0</v>
      </c>
      <c r="S61" s="303" t="n">
        <v>0</v>
      </c>
      <c r="T61" s="296" t="inlineStr">
        <is>
          <t>SI</t>
        </is>
      </c>
    </row>
    <row r="62" ht="16" customHeight="1">
      <c r="A62" s="307" t="n">
        <v>59</v>
      </c>
      <c r="B62" s="308" t="inlineStr">
        <is>
          <t>ER3D-HOODIE-001-MAX-VERSTA</t>
        </is>
      </c>
      <c r="C62" s="308" t="inlineStr">
        <is>
          <t>Hoodie escuderías — Max Verstappen Coche</t>
        </is>
      </c>
      <c r="D62" s="311" t="inlineStr">
        <is>
          <t>INDUMENTARIA</t>
        </is>
      </c>
      <c r="E62" s="308" t="inlineStr">
        <is>
          <t>Hoodies &amp; Ropa</t>
        </is>
      </c>
      <c r="F62" s="305" t="inlineStr">
        <is>
          <t>Variante</t>
        </is>
      </c>
      <c r="G62" s="308" t="inlineStr">
        <is>
          <t>Max Verstappen Coche</t>
        </is>
      </c>
      <c r="H62" s="290" t="n">
        <v>0</v>
      </c>
      <c r="I62" s="290" t="n">
        <v>0</v>
      </c>
      <c r="J62" s="290" t="n">
        <v>0</v>
      </c>
      <c r="K62" s="290" t="n">
        <v>0</v>
      </c>
      <c r="L62" s="290" t="n">
        <v>0</v>
      </c>
      <c r="M62" s="291">
        <f>H62+I62+J62+K62+L62</f>
        <v/>
      </c>
      <c r="N62" s="292" t="n">
        <v>1890</v>
      </c>
      <c r="O62" s="309" t="n"/>
      <c r="P62" s="294">
        <f>IF(N62&gt;0,N62-M62,0)</f>
        <v/>
      </c>
      <c r="Q62" s="295">
        <f>IF(N62&gt;0,P62/N62*100,0)</f>
        <v/>
      </c>
      <c r="R62" s="307" t="n">
        <v>0</v>
      </c>
      <c r="S62" s="307" t="n">
        <v>0</v>
      </c>
      <c r="T62" s="296" t="inlineStr">
        <is>
          <t>SI</t>
        </is>
      </c>
    </row>
    <row r="63" ht="16" customHeight="1">
      <c r="A63" s="303" t="n">
        <v>60</v>
      </c>
      <c r="B63" s="304" t="inlineStr">
        <is>
          <t>ER3D-HOODIE-001-MAX-VERSTA</t>
        </is>
      </c>
      <c r="C63" s="304" t="inlineStr">
        <is>
          <t>Hoodie escuderías — Max Verstappen Fotos</t>
        </is>
      </c>
      <c r="D63" s="311" t="inlineStr">
        <is>
          <t>INDUMENTARIA</t>
        </is>
      </c>
      <c r="E63" s="304" t="inlineStr">
        <is>
          <t>Hoodies &amp; Ropa</t>
        </is>
      </c>
      <c r="F63" s="305" t="inlineStr">
        <is>
          <t>Variante</t>
        </is>
      </c>
      <c r="G63" s="304" t="inlineStr">
        <is>
          <t>Max Verstappen Fotos</t>
        </is>
      </c>
      <c r="H63" s="290" t="n">
        <v>0</v>
      </c>
      <c r="I63" s="290" t="n">
        <v>0</v>
      </c>
      <c r="J63" s="290" t="n">
        <v>0</v>
      </c>
      <c r="K63" s="290" t="n">
        <v>0</v>
      </c>
      <c r="L63" s="290" t="n">
        <v>0</v>
      </c>
      <c r="M63" s="291">
        <f>H63+I63+J63+K63+L63</f>
        <v/>
      </c>
      <c r="N63" s="292" t="n">
        <v>1890</v>
      </c>
      <c r="O63" s="306" t="n"/>
      <c r="P63" s="294">
        <f>IF(N63&gt;0,N63-M63,0)</f>
        <v/>
      </c>
      <c r="Q63" s="295">
        <f>IF(N63&gt;0,P63/N63*100,0)</f>
        <v/>
      </c>
      <c r="R63" s="303" t="n">
        <v>0</v>
      </c>
      <c r="S63" s="303" t="n">
        <v>0</v>
      </c>
      <c r="T63" s="296" t="inlineStr">
        <is>
          <t>SI</t>
        </is>
      </c>
    </row>
    <row r="64" ht="16" customHeight="1">
      <c r="A64" s="307" t="n">
        <v>61</v>
      </c>
      <c r="B64" s="308" t="inlineStr">
        <is>
          <t>ER3D-HOODIE-001-LANDO-NORR</t>
        </is>
      </c>
      <c r="C64" s="308" t="inlineStr">
        <is>
          <t>Hoodie escuderías — Lando Norris Fotos</t>
        </is>
      </c>
      <c r="D64" s="311" t="inlineStr">
        <is>
          <t>INDUMENTARIA</t>
        </is>
      </c>
      <c r="E64" s="308" t="inlineStr">
        <is>
          <t>Hoodies &amp; Ropa</t>
        </is>
      </c>
      <c r="F64" s="305" t="inlineStr">
        <is>
          <t>Variante</t>
        </is>
      </c>
      <c r="G64" s="308" t="inlineStr">
        <is>
          <t>Lando Norris Fotos</t>
        </is>
      </c>
      <c r="H64" s="290" t="n">
        <v>0</v>
      </c>
      <c r="I64" s="290" t="n">
        <v>0</v>
      </c>
      <c r="J64" s="290" t="n">
        <v>0</v>
      </c>
      <c r="K64" s="290" t="n">
        <v>0</v>
      </c>
      <c r="L64" s="290" t="n">
        <v>0</v>
      </c>
      <c r="M64" s="291">
        <f>H64+I64+J64+K64+L64</f>
        <v/>
      </c>
      <c r="N64" s="292" t="n">
        <v>1890</v>
      </c>
      <c r="O64" s="309" t="n"/>
      <c r="P64" s="294">
        <f>IF(N64&gt;0,N64-M64,0)</f>
        <v/>
      </c>
      <c r="Q64" s="295">
        <f>IF(N64&gt;0,P64/N64*100,0)</f>
        <v/>
      </c>
      <c r="R64" s="307" t="n">
        <v>0</v>
      </c>
      <c r="S64" s="307" t="n">
        <v>0</v>
      </c>
      <c r="T64" s="296" t="inlineStr">
        <is>
          <t>SI</t>
        </is>
      </c>
    </row>
    <row r="65" ht="16" customHeight="1">
      <c r="A65" s="303" t="n">
        <v>62</v>
      </c>
      <c r="B65" s="304" t="inlineStr">
        <is>
          <t>ER3D-HOODIE-001-LANDO-NORR</t>
        </is>
      </c>
      <c r="C65" s="304" t="inlineStr">
        <is>
          <t>Hoodie escuderías — Lando Norris Coche</t>
        </is>
      </c>
      <c r="D65" s="311" t="inlineStr">
        <is>
          <t>INDUMENTARIA</t>
        </is>
      </c>
      <c r="E65" s="304" t="inlineStr">
        <is>
          <t>Hoodies &amp; Ropa</t>
        </is>
      </c>
      <c r="F65" s="305" t="inlineStr">
        <is>
          <t>Variante</t>
        </is>
      </c>
      <c r="G65" s="304" t="inlineStr">
        <is>
          <t>Lando Norris Coche</t>
        </is>
      </c>
      <c r="H65" s="290" t="n">
        <v>0</v>
      </c>
      <c r="I65" s="290" t="n">
        <v>0</v>
      </c>
      <c r="J65" s="290" t="n">
        <v>0</v>
      </c>
      <c r="K65" s="290" t="n">
        <v>0</v>
      </c>
      <c r="L65" s="290" t="n">
        <v>0</v>
      </c>
      <c r="M65" s="291">
        <f>H65+I65+J65+K65+L65</f>
        <v/>
      </c>
      <c r="N65" s="292" t="n">
        <v>1890</v>
      </c>
      <c r="O65" s="306" t="n"/>
      <c r="P65" s="294">
        <f>IF(N65&gt;0,N65-M65,0)</f>
        <v/>
      </c>
      <c r="Q65" s="295">
        <f>IF(N65&gt;0,P65/N65*100,0)</f>
        <v/>
      </c>
      <c r="R65" s="303" t="n">
        <v>0</v>
      </c>
      <c r="S65" s="303" t="n">
        <v>0</v>
      </c>
      <c r="T65" s="296" t="inlineStr">
        <is>
          <t>SI</t>
        </is>
      </c>
    </row>
    <row r="66" ht="16" customHeight="1">
      <c r="A66" s="307" t="n">
        <v>63</v>
      </c>
      <c r="B66" s="308" t="inlineStr">
        <is>
          <t>ER3D-HOODIE-001-SCHUMACHER</t>
        </is>
      </c>
      <c r="C66" s="308" t="inlineStr">
        <is>
          <t>Hoodie escuderías — Schumacher</t>
        </is>
      </c>
      <c r="D66" s="311" t="inlineStr">
        <is>
          <t>INDUMENTARIA</t>
        </is>
      </c>
      <c r="E66" s="308" t="inlineStr">
        <is>
          <t>Hoodies &amp; Ropa</t>
        </is>
      </c>
      <c r="F66" s="305" t="inlineStr">
        <is>
          <t>Variante</t>
        </is>
      </c>
      <c r="G66" s="308" t="inlineStr">
        <is>
          <t>Schumacher</t>
        </is>
      </c>
      <c r="H66" s="290" t="n">
        <v>0</v>
      </c>
      <c r="I66" s="290" t="n">
        <v>0</v>
      </c>
      <c r="J66" s="290" t="n">
        <v>0</v>
      </c>
      <c r="K66" s="290" t="n">
        <v>0</v>
      </c>
      <c r="L66" s="290" t="n">
        <v>0</v>
      </c>
      <c r="M66" s="291">
        <f>H66+I66+J66+K66+L66</f>
        <v/>
      </c>
      <c r="N66" s="292" t="n">
        <v>1890</v>
      </c>
      <c r="O66" s="309" t="n"/>
      <c r="P66" s="294">
        <f>IF(N66&gt;0,N66-M66,0)</f>
        <v/>
      </c>
      <c r="Q66" s="295">
        <f>IF(N66&gt;0,P66/N66*100,0)</f>
        <v/>
      </c>
      <c r="R66" s="307" t="n">
        <v>0</v>
      </c>
      <c r="S66" s="307" t="n">
        <v>0</v>
      </c>
      <c r="T66" s="296" t="inlineStr">
        <is>
          <t>SI</t>
        </is>
      </c>
    </row>
    <row r="67" ht="16" customHeight="1">
      <c r="A67" s="303" t="n">
        <v>64</v>
      </c>
      <c r="B67" s="304" t="inlineStr">
        <is>
          <t>ER3D-HOODIE-001-ASTON-MART</t>
        </is>
      </c>
      <c r="C67" s="304" t="inlineStr">
        <is>
          <t>Hoodie escuderías — Aston Martin Alonso</t>
        </is>
      </c>
      <c r="D67" s="311" t="inlineStr">
        <is>
          <t>INDUMENTARIA</t>
        </is>
      </c>
      <c r="E67" s="304" t="inlineStr">
        <is>
          <t>Hoodies &amp; Ropa</t>
        </is>
      </c>
      <c r="F67" s="305" t="inlineStr">
        <is>
          <t>Variante</t>
        </is>
      </c>
      <c r="G67" s="304" t="inlineStr">
        <is>
          <t>Aston Martin Alonso</t>
        </is>
      </c>
      <c r="H67" s="290" t="n">
        <v>0</v>
      </c>
      <c r="I67" s="290" t="n">
        <v>0</v>
      </c>
      <c r="J67" s="290" t="n">
        <v>0</v>
      </c>
      <c r="K67" s="290" t="n">
        <v>0</v>
      </c>
      <c r="L67" s="290" t="n">
        <v>0</v>
      </c>
      <c r="M67" s="291">
        <f>H67+I67+J67+K67+L67</f>
        <v/>
      </c>
      <c r="N67" s="292" t="n">
        <v>1890</v>
      </c>
      <c r="O67" s="306" t="n"/>
      <c r="P67" s="294">
        <f>IF(N67&gt;0,N67-M67,0)</f>
        <v/>
      </c>
      <c r="Q67" s="295">
        <f>IF(N67&gt;0,P67/N67*100,0)</f>
        <v/>
      </c>
      <c r="R67" s="303" t="n">
        <v>0</v>
      </c>
      <c r="S67" s="303" t="n">
        <v>0</v>
      </c>
      <c r="T67" s="296" t="inlineStr">
        <is>
          <t>SI</t>
        </is>
      </c>
    </row>
    <row r="68" ht="16" customHeight="1">
      <c r="A68" s="307" t="n">
        <v>65</v>
      </c>
      <c r="B68" s="308" t="inlineStr">
        <is>
          <t>ER3D-HOODIE-001-SENNINHA</t>
        </is>
      </c>
      <c r="C68" s="308" t="inlineStr">
        <is>
          <t>Hoodie escuderías — Senninha</t>
        </is>
      </c>
      <c r="D68" s="311" t="inlineStr">
        <is>
          <t>INDUMENTARIA</t>
        </is>
      </c>
      <c r="E68" s="308" t="inlineStr">
        <is>
          <t>Hoodies &amp; Ropa</t>
        </is>
      </c>
      <c r="F68" s="305" t="inlineStr">
        <is>
          <t>Variante</t>
        </is>
      </c>
      <c r="G68" s="308" t="inlineStr">
        <is>
          <t>Senninha</t>
        </is>
      </c>
      <c r="H68" s="290" t="n">
        <v>0</v>
      </c>
      <c r="I68" s="290" t="n">
        <v>0</v>
      </c>
      <c r="J68" s="290" t="n">
        <v>0</v>
      </c>
      <c r="K68" s="290" t="n">
        <v>0</v>
      </c>
      <c r="L68" s="290" t="n">
        <v>0</v>
      </c>
      <c r="M68" s="291">
        <f>H68+I68+J68+K68+L68</f>
        <v/>
      </c>
      <c r="N68" s="292" t="n">
        <v>1890</v>
      </c>
      <c r="O68" s="309" t="n"/>
      <c r="P68" s="294">
        <f>IF(N68&gt;0,N68-M68,0)</f>
        <v/>
      </c>
      <c r="Q68" s="295">
        <f>IF(N68&gt;0,P68/N68*100,0)</f>
        <v/>
      </c>
      <c r="R68" s="307" t="n">
        <v>0</v>
      </c>
      <c r="S68" s="307" t="n">
        <v>0</v>
      </c>
      <c r="T68" s="296" t="inlineStr">
        <is>
          <t>SI</t>
        </is>
      </c>
    </row>
    <row r="69" ht="16" customHeight="1">
      <c r="A69" s="303" t="n">
        <v>66</v>
      </c>
      <c r="B69" s="304" t="inlineStr">
        <is>
          <t>ER3D-HOODIE-001-LOGO-SENNA</t>
        </is>
      </c>
      <c r="C69" s="304" t="inlineStr">
        <is>
          <t>Hoodie escuderías — Logo Senna</t>
        </is>
      </c>
      <c r="D69" s="311" t="inlineStr">
        <is>
          <t>INDUMENTARIA</t>
        </is>
      </c>
      <c r="E69" s="304" t="inlineStr">
        <is>
          <t>Hoodies &amp; Ropa</t>
        </is>
      </c>
      <c r="F69" s="305" t="inlineStr">
        <is>
          <t>Variante</t>
        </is>
      </c>
      <c r="G69" s="304" t="inlineStr">
        <is>
          <t>Logo Senna</t>
        </is>
      </c>
      <c r="H69" s="290" t="n">
        <v>0</v>
      </c>
      <c r="I69" s="290" t="n">
        <v>0</v>
      </c>
      <c r="J69" s="290" t="n">
        <v>0</v>
      </c>
      <c r="K69" s="290" t="n">
        <v>0</v>
      </c>
      <c r="L69" s="290" t="n">
        <v>0</v>
      </c>
      <c r="M69" s="291">
        <f>H69+I69+J69+K69+L69</f>
        <v/>
      </c>
      <c r="N69" s="292" t="n">
        <v>1890</v>
      </c>
      <c r="O69" s="306" t="n"/>
      <c r="P69" s="294">
        <f>IF(N69&gt;0,N69-M69,0)</f>
        <v/>
      </c>
      <c r="Q69" s="295">
        <f>IF(N69&gt;0,P69/N69*100,0)</f>
        <v/>
      </c>
      <c r="R69" s="303" t="n">
        <v>0</v>
      </c>
      <c r="S69" s="303" t="n">
        <v>0</v>
      </c>
      <c r="T69" s="296" t="inlineStr">
        <is>
          <t>SI</t>
        </is>
      </c>
    </row>
    <row r="70" ht="16" customHeight="1">
      <c r="A70" s="307" t="n">
        <v>67</v>
      </c>
      <c r="B70" s="308" t="inlineStr">
        <is>
          <t>ER3D-HOODIE-001-BOX-BOX-BO</t>
        </is>
      </c>
      <c r="C70" s="308" t="inlineStr">
        <is>
          <t>Hoodie escuderías — Box Box Box</t>
        </is>
      </c>
      <c r="D70" s="311" t="inlineStr">
        <is>
          <t>INDUMENTARIA</t>
        </is>
      </c>
      <c r="E70" s="308" t="inlineStr">
        <is>
          <t>Hoodies &amp; Ropa</t>
        </is>
      </c>
      <c r="F70" s="305" t="inlineStr">
        <is>
          <t>Variante</t>
        </is>
      </c>
      <c r="G70" s="308" t="inlineStr">
        <is>
          <t>Box Box Box</t>
        </is>
      </c>
      <c r="H70" s="290" t="n">
        <v>0</v>
      </c>
      <c r="I70" s="290" t="n">
        <v>0</v>
      </c>
      <c r="J70" s="290" t="n">
        <v>0</v>
      </c>
      <c r="K70" s="290" t="n">
        <v>0</v>
      </c>
      <c r="L70" s="290" t="n">
        <v>0</v>
      </c>
      <c r="M70" s="291">
        <f>H70+I70+J70+K70+L70</f>
        <v/>
      </c>
      <c r="N70" s="292" t="n">
        <v>1890</v>
      </c>
      <c r="O70" s="309" t="n"/>
      <c r="P70" s="294">
        <f>IF(N70&gt;0,N70-M70,0)</f>
        <v/>
      </c>
      <c r="Q70" s="295">
        <f>IF(N70&gt;0,P70/N70*100,0)</f>
        <v/>
      </c>
      <c r="R70" s="307" t="n">
        <v>0</v>
      </c>
      <c r="S70" s="307" t="n">
        <v>0</v>
      </c>
      <c r="T70" s="296" t="inlineStr">
        <is>
          <t>SI</t>
        </is>
      </c>
    </row>
    <row r="71" ht="16" customHeight="1">
      <c r="A71" s="303" t="n">
        <v>68</v>
      </c>
      <c r="B71" s="304" t="inlineStr">
        <is>
          <t>ER3D-HOODIE-001-SIMPLY-LOV</t>
        </is>
      </c>
      <c r="C71" s="304" t="inlineStr">
        <is>
          <t>Hoodie escuderías — Simply Lovely</t>
        </is>
      </c>
      <c r="D71" s="311" t="inlineStr">
        <is>
          <t>INDUMENTARIA</t>
        </is>
      </c>
      <c r="E71" s="304" t="inlineStr">
        <is>
          <t>Hoodies &amp; Ropa</t>
        </is>
      </c>
      <c r="F71" s="305" t="inlineStr">
        <is>
          <t>Variante</t>
        </is>
      </c>
      <c r="G71" s="304" t="inlineStr">
        <is>
          <t>Simply Lovely</t>
        </is>
      </c>
      <c r="H71" s="290" t="n">
        <v>0</v>
      </c>
      <c r="I71" s="290" t="n">
        <v>0</v>
      </c>
      <c r="J71" s="290" t="n">
        <v>0</v>
      </c>
      <c r="K71" s="290" t="n">
        <v>0</v>
      </c>
      <c r="L71" s="290" t="n">
        <v>0</v>
      </c>
      <c r="M71" s="291">
        <f>H71+I71+J71+K71+L71</f>
        <v/>
      </c>
      <c r="N71" s="292" t="n">
        <v>1890</v>
      </c>
      <c r="O71" s="306" t="n"/>
      <c r="P71" s="294">
        <f>IF(N71&gt;0,N71-M71,0)</f>
        <v/>
      </c>
      <c r="Q71" s="295">
        <f>IF(N71&gt;0,P71/N71*100,0)</f>
        <v/>
      </c>
      <c r="R71" s="303" t="n">
        <v>0</v>
      </c>
      <c r="S71" s="303" t="n">
        <v>0</v>
      </c>
      <c r="T71" s="296" t="inlineStr">
        <is>
          <t>SI</t>
        </is>
      </c>
    </row>
    <row r="72" ht="16" customHeight="1">
      <c r="A72" s="307" t="n">
        <v>69</v>
      </c>
      <c r="B72" s="308" t="inlineStr">
        <is>
          <t>ER3D-HOODIE-001-SEMANA-DE</t>
        </is>
      </c>
      <c r="C72" s="308" t="inlineStr">
        <is>
          <t>Hoodie escuderías — Semana de Carrera</t>
        </is>
      </c>
      <c r="D72" s="311" t="inlineStr">
        <is>
          <t>INDUMENTARIA</t>
        </is>
      </c>
      <c r="E72" s="308" t="inlineStr">
        <is>
          <t>Hoodies &amp; Ropa</t>
        </is>
      </c>
      <c r="F72" s="305" t="inlineStr">
        <is>
          <t>Variante</t>
        </is>
      </c>
      <c r="G72" s="308" t="inlineStr">
        <is>
          <t>Semana de Carrera</t>
        </is>
      </c>
      <c r="H72" s="290" t="n">
        <v>0</v>
      </c>
      <c r="I72" s="290" t="n">
        <v>0</v>
      </c>
      <c r="J72" s="290" t="n">
        <v>0</v>
      </c>
      <c r="K72" s="290" t="n">
        <v>0</v>
      </c>
      <c r="L72" s="290" t="n">
        <v>0</v>
      </c>
      <c r="M72" s="291">
        <f>H72+I72+J72+K72+L72</f>
        <v/>
      </c>
      <c r="N72" s="292" t="n">
        <v>1890</v>
      </c>
      <c r="O72" s="309" t="n"/>
      <c r="P72" s="294">
        <f>IF(N72&gt;0,N72-M72,0)</f>
        <v/>
      </c>
      <c r="Q72" s="295">
        <f>IF(N72&gt;0,P72/N72*100,0)</f>
        <v/>
      </c>
      <c r="R72" s="307" t="n">
        <v>0</v>
      </c>
      <c r="S72" s="307" t="n">
        <v>0</v>
      </c>
      <c r="T72" s="296" t="inlineStr">
        <is>
          <t>SI</t>
        </is>
      </c>
    </row>
    <row r="73" ht="16" customHeight="1">
      <c r="A73" s="303" t="n">
        <v>70</v>
      </c>
      <c r="B73" s="304" t="inlineStr">
        <is>
          <t>ER3D-HOODIE-001-MUSTANG</t>
        </is>
      </c>
      <c r="C73" s="304" t="inlineStr">
        <is>
          <t>Hoodie escuderías — Mustang</t>
        </is>
      </c>
      <c r="D73" s="311" t="inlineStr">
        <is>
          <t>INDUMENTARIA</t>
        </is>
      </c>
      <c r="E73" s="304" t="inlineStr">
        <is>
          <t>Hoodies &amp; Ropa</t>
        </is>
      </c>
      <c r="F73" s="305" t="inlineStr">
        <is>
          <t>Variante</t>
        </is>
      </c>
      <c r="G73" s="304" t="inlineStr">
        <is>
          <t>Mustang</t>
        </is>
      </c>
      <c r="H73" s="290" t="n">
        <v>0</v>
      </c>
      <c r="I73" s="290" t="n">
        <v>0</v>
      </c>
      <c r="J73" s="290" t="n">
        <v>0</v>
      </c>
      <c r="K73" s="290" t="n">
        <v>0</v>
      </c>
      <c r="L73" s="290" t="n">
        <v>0</v>
      </c>
      <c r="M73" s="291">
        <f>H73+I73+J73+K73+L73</f>
        <v/>
      </c>
      <c r="N73" s="292" t="n">
        <v>1890</v>
      </c>
      <c r="O73" s="306" t="n"/>
      <c r="P73" s="294">
        <f>IF(N73&gt;0,N73-M73,0)</f>
        <v/>
      </c>
      <c r="Q73" s="295">
        <f>IF(N73&gt;0,P73/N73*100,0)</f>
        <v/>
      </c>
      <c r="R73" s="303" t="n">
        <v>0</v>
      </c>
      <c r="S73" s="303" t="n">
        <v>0</v>
      </c>
      <c r="T73" s="296" t="inlineStr">
        <is>
          <t>SI</t>
        </is>
      </c>
    </row>
    <row r="74" ht="16" customHeight="1">
      <c r="A74" s="307" t="n">
        <v>71</v>
      </c>
      <c r="B74" s="308" t="inlineStr">
        <is>
          <t>ER3D-HOODIE-001-NEED-MONEY</t>
        </is>
      </c>
      <c r="C74" s="308" t="inlineStr">
        <is>
          <t>Hoodie escuderías — Need Money For Porsche</t>
        </is>
      </c>
      <c r="D74" s="311" t="inlineStr">
        <is>
          <t>INDUMENTARIA</t>
        </is>
      </c>
      <c r="E74" s="308" t="inlineStr">
        <is>
          <t>Hoodies &amp; Ropa</t>
        </is>
      </c>
      <c r="F74" s="305" t="inlineStr">
        <is>
          <t>Variante</t>
        </is>
      </c>
      <c r="G74" s="308" t="inlineStr">
        <is>
          <t>Need Money For Porsche</t>
        </is>
      </c>
      <c r="H74" s="290" t="n">
        <v>0</v>
      </c>
      <c r="I74" s="290" t="n">
        <v>0</v>
      </c>
      <c r="J74" s="290" t="n">
        <v>0</v>
      </c>
      <c r="K74" s="290" t="n">
        <v>0</v>
      </c>
      <c r="L74" s="290" t="n">
        <v>0</v>
      </c>
      <c r="M74" s="291">
        <f>H74+I74+J74+K74+L74</f>
        <v/>
      </c>
      <c r="N74" s="292" t="n">
        <v>1890</v>
      </c>
      <c r="O74" s="309" t="n"/>
      <c r="P74" s="294">
        <f>IF(N74&gt;0,N74-M74,0)</f>
        <v/>
      </c>
      <c r="Q74" s="295">
        <f>IF(N74&gt;0,P74/N74*100,0)</f>
        <v/>
      </c>
      <c r="R74" s="307" t="n">
        <v>0</v>
      </c>
      <c r="S74" s="307" t="n">
        <v>0</v>
      </c>
      <c r="T74" s="296" t="inlineStr">
        <is>
          <t>SI</t>
        </is>
      </c>
    </row>
    <row r="75" ht="16" customHeight="1">
      <c r="A75" s="303" t="n">
        <v>72</v>
      </c>
      <c r="B75" s="304" t="inlineStr">
        <is>
          <t>ER3D-HOODIE-001-PORSCHE</t>
        </is>
      </c>
      <c r="C75" s="304" t="inlineStr">
        <is>
          <t>Hoodie escuderías — Porsche</t>
        </is>
      </c>
      <c r="D75" s="311" t="inlineStr">
        <is>
          <t>INDUMENTARIA</t>
        </is>
      </c>
      <c r="E75" s="304" t="inlineStr">
        <is>
          <t>Hoodies &amp; Ropa</t>
        </is>
      </c>
      <c r="F75" s="305" t="inlineStr">
        <is>
          <t>Variante</t>
        </is>
      </c>
      <c r="G75" s="304" t="inlineStr">
        <is>
          <t>Porsche</t>
        </is>
      </c>
      <c r="H75" s="290" t="n">
        <v>0</v>
      </c>
      <c r="I75" s="290" t="n">
        <v>0</v>
      </c>
      <c r="J75" s="290" t="n">
        <v>0</v>
      </c>
      <c r="K75" s="290" t="n">
        <v>0</v>
      </c>
      <c r="L75" s="290" t="n">
        <v>0</v>
      </c>
      <c r="M75" s="291">
        <f>H75+I75+J75+K75+L75</f>
        <v/>
      </c>
      <c r="N75" s="292" t="n">
        <v>1890</v>
      </c>
      <c r="O75" s="306" t="n"/>
      <c r="P75" s="294">
        <f>IF(N75&gt;0,N75-M75,0)</f>
        <v/>
      </c>
      <c r="Q75" s="295">
        <f>IF(N75&gt;0,P75/N75*100,0)</f>
        <v/>
      </c>
      <c r="R75" s="303" t="n">
        <v>0</v>
      </c>
      <c r="S75" s="303" t="n">
        <v>0</v>
      </c>
      <c r="T75" s="296" t="inlineStr">
        <is>
          <t>SI</t>
        </is>
      </c>
    </row>
    <row r="76" ht="16" customHeight="1">
      <c r="A76" s="307" t="n">
        <v>73</v>
      </c>
      <c r="B76" s="308" t="inlineStr">
        <is>
          <t>ER3D-HOODIE-001-AUDI-F1</t>
        </is>
      </c>
      <c r="C76" s="308" t="inlineStr">
        <is>
          <t>Hoodie escuderías — Audi F1</t>
        </is>
      </c>
      <c r="D76" s="311" t="inlineStr">
        <is>
          <t>INDUMENTARIA</t>
        </is>
      </c>
      <c r="E76" s="308" t="inlineStr">
        <is>
          <t>Hoodies &amp; Ropa</t>
        </is>
      </c>
      <c r="F76" s="305" t="inlineStr">
        <is>
          <t>Variante</t>
        </is>
      </c>
      <c r="G76" s="308" t="inlineStr">
        <is>
          <t>Audi F1</t>
        </is>
      </c>
      <c r="H76" s="290" t="n">
        <v>0</v>
      </c>
      <c r="I76" s="290" t="n">
        <v>0</v>
      </c>
      <c r="J76" s="290" t="n">
        <v>0</v>
      </c>
      <c r="K76" s="290" t="n">
        <v>0</v>
      </c>
      <c r="L76" s="290" t="n">
        <v>0</v>
      </c>
      <c r="M76" s="291">
        <f>H76+I76+J76+K76+L76</f>
        <v/>
      </c>
      <c r="N76" s="292" t="n">
        <v>1890</v>
      </c>
      <c r="O76" s="309" t="n"/>
      <c r="P76" s="294">
        <f>IF(N76&gt;0,N76-M76,0)</f>
        <v/>
      </c>
      <c r="Q76" s="295">
        <f>IF(N76&gt;0,P76/N76*100,0)</f>
        <v/>
      </c>
      <c r="R76" s="307" t="n">
        <v>0</v>
      </c>
      <c r="S76" s="307" t="n">
        <v>0</v>
      </c>
      <c r="T76" s="296" t="inlineStr">
        <is>
          <t>SI</t>
        </is>
      </c>
    </row>
    <row r="77" ht="16" customHeight="1">
      <c r="A77" s="303" t="n">
        <v>74</v>
      </c>
      <c r="B77" s="304" t="inlineStr">
        <is>
          <t>ER3D-HOODIE-001-CADILLAC-F</t>
        </is>
      </c>
      <c r="C77" s="304" t="inlineStr">
        <is>
          <t>Hoodie escuderías — Cadillac F1</t>
        </is>
      </c>
      <c r="D77" s="311" t="inlineStr">
        <is>
          <t>INDUMENTARIA</t>
        </is>
      </c>
      <c r="E77" s="304" t="inlineStr">
        <is>
          <t>Hoodies &amp; Ropa</t>
        </is>
      </c>
      <c r="F77" s="305" t="inlineStr">
        <is>
          <t>Variante</t>
        </is>
      </c>
      <c r="G77" s="304" t="inlineStr">
        <is>
          <t>Cadillac F1</t>
        </is>
      </c>
      <c r="H77" s="290" t="n">
        <v>0</v>
      </c>
      <c r="I77" s="290" t="n">
        <v>0</v>
      </c>
      <c r="J77" s="290" t="n">
        <v>0</v>
      </c>
      <c r="K77" s="290" t="n">
        <v>0</v>
      </c>
      <c r="L77" s="290" t="n">
        <v>0</v>
      </c>
      <c r="M77" s="291">
        <f>H77+I77+J77+K77+L77</f>
        <v/>
      </c>
      <c r="N77" s="292" t="n">
        <v>1890</v>
      </c>
      <c r="O77" s="306" t="n"/>
      <c r="P77" s="294">
        <f>IF(N77&gt;0,N77-M77,0)</f>
        <v/>
      </c>
      <c r="Q77" s="295">
        <f>IF(N77&gt;0,P77/N77*100,0)</f>
        <v/>
      </c>
      <c r="R77" s="303" t="n">
        <v>0</v>
      </c>
      <c r="S77" s="303" t="n">
        <v>0</v>
      </c>
      <c r="T77" s="296" t="inlineStr">
        <is>
          <t>SI</t>
        </is>
      </c>
    </row>
    <row r="78" ht="16" customHeight="1">
      <c r="A78" s="303" t="n">
        <v>75</v>
      </c>
      <c r="B78" s="304" t="inlineStr">
        <is>
          <t>ER3D-VASO-600-F1-001-MCLAREN</t>
        </is>
      </c>
      <c r="C78" s="304" t="inlineStr">
        <is>
          <t>Vaso térmico 600 ml F1 - McLaren</t>
        </is>
      </c>
      <c r="D78" s="288" t="inlineStr">
        <is>
          <t>TERMOS Y BEBIDAS</t>
        </is>
      </c>
      <c r="E78" s="304" t="inlineStr">
        <is>
          <t>Vasos Térmicos</t>
        </is>
      </c>
      <c r="F78" s="305" t="inlineStr">
        <is>
          <t>Variante</t>
        </is>
      </c>
      <c r="G78" s="304" t="inlineStr">
        <is>
          <t>McLaren</t>
        </is>
      </c>
      <c r="H78" s="290" t="n">
        <v>0</v>
      </c>
      <c r="I78" s="290" t="n">
        <v>0</v>
      </c>
      <c r="J78" s="290" t="n">
        <v>0</v>
      </c>
      <c r="K78" s="290" t="n">
        <v>0</v>
      </c>
      <c r="L78" s="290" t="n">
        <v>0</v>
      </c>
      <c r="M78" s="291">
        <f>H78+I78+J78+K78+L78</f>
        <v/>
      </c>
      <c r="N78" s="292" t="n">
        <v>990</v>
      </c>
      <c r="O78" s="306" t="n"/>
      <c r="P78" s="294">
        <f>IF(N78&gt;0,N78-M78,0)</f>
        <v/>
      </c>
      <c r="Q78" s="295">
        <f>IF(N78&gt;0,P78/N78*100,0)</f>
        <v/>
      </c>
      <c r="R78" s="303" t="n">
        <v>0</v>
      </c>
      <c r="S78" s="303" t="n">
        <v>0</v>
      </c>
      <c r="T78" s="296" t="inlineStr">
        <is>
          <t>SI</t>
        </is>
      </c>
    </row>
    <row r="79" ht="16" customHeight="1">
      <c r="A79" s="303" t="n">
        <v>76</v>
      </c>
      <c r="B79" s="304" t="inlineStr">
        <is>
          <t>ER3D-TAZA-001-FERRARI</t>
        </is>
      </c>
      <c r="C79" s="304" t="inlineStr">
        <is>
          <t>Taza de tus ídolos - Ferrari</t>
        </is>
      </c>
      <c r="D79" s="288" t="inlineStr">
        <is>
          <t>TERMOS Y BEBIDAS</t>
        </is>
      </c>
      <c r="E79" s="304" t="inlineStr">
        <is>
          <t>Mates</t>
        </is>
      </c>
      <c r="F79" s="305" t="inlineStr">
        <is>
          <t>Variante</t>
        </is>
      </c>
      <c r="G79" s="304" t="inlineStr">
        <is>
          <t>Ferrari</t>
        </is>
      </c>
      <c r="H79" s="290" t="n">
        <v>0</v>
      </c>
      <c r="I79" s="290" t="n">
        <v>0</v>
      </c>
      <c r="J79" s="290" t="n">
        <v>0</v>
      </c>
      <c r="K79" s="290" t="n">
        <v>0</v>
      </c>
      <c r="L79" s="290" t="n">
        <v>0</v>
      </c>
      <c r="M79" s="291">
        <f>H79+I79+J79+K79+L79</f>
        <v/>
      </c>
      <c r="N79" s="292" t="n">
        <v>390</v>
      </c>
      <c r="O79" s="306" t="n"/>
      <c r="P79" s="294">
        <f>IF(N79&gt;0,N79-M79,0)</f>
        <v/>
      </c>
      <c r="Q79" s="295">
        <f>IF(N79&gt;0,P79/N79*100,0)</f>
        <v/>
      </c>
      <c r="R79" s="303" t="n">
        <v>0</v>
      </c>
      <c r="S79" s="303" t="n">
        <v>0</v>
      </c>
      <c r="T79" s="296" t="inlineStr">
        <is>
          <t>SI</t>
        </is>
      </c>
    </row>
    <row r="80" ht="16" customHeight="1">
      <c r="A80" s="307" t="n">
        <v>77</v>
      </c>
      <c r="B80" s="308" t="inlineStr">
        <is>
          <t>ER3D-TAZA-001-MERCEDES</t>
        </is>
      </c>
      <c r="C80" s="308" t="inlineStr">
        <is>
          <t>Taza de tus ídolos - Mercedes</t>
        </is>
      </c>
      <c r="D80" s="288" t="inlineStr">
        <is>
          <t>TERMOS Y BEBIDAS</t>
        </is>
      </c>
      <c r="E80" s="308" t="inlineStr">
        <is>
          <t>Mates</t>
        </is>
      </c>
      <c r="F80" s="305" t="inlineStr">
        <is>
          <t>Variante</t>
        </is>
      </c>
      <c r="G80" s="308" t="inlineStr">
        <is>
          <t>Mercedes</t>
        </is>
      </c>
      <c r="H80" s="290" t="n">
        <v>0</v>
      </c>
      <c r="I80" s="290" t="n">
        <v>0</v>
      </c>
      <c r="J80" s="290" t="n">
        <v>0</v>
      </c>
      <c r="K80" s="290" t="n">
        <v>0</v>
      </c>
      <c r="L80" s="290" t="n">
        <v>0</v>
      </c>
      <c r="M80" s="291">
        <f>H80+I80+J80+K80+L80</f>
        <v/>
      </c>
      <c r="N80" s="292" t="n">
        <v>390</v>
      </c>
      <c r="O80" s="309" t="n"/>
      <c r="P80" s="294">
        <f>IF(N80&gt;0,N80-M80,0)</f>
        <v/>
      </c>
      <c r="Q80" s="295">
        <f>IF(N80&gt;0,P80/N80*100,0)</f>
        <v/>
      </c>
      <c r="R80" s="307" t="n">
        <v>0</v>
      </c>
      <c r="S80" s="307" t="n">
        <v>0</v>
      </c>
      <c r="T80" s="296" t="inlineStr">
        <is>
          <t>SI</t>
        </is>
      </c>
    </row>
    <row r="81" ht="16" customHeight="1">
      <c r="A81" s="303" t="n">
        <v>78</v>
      </c>
      <c r="B81" s="304" t="inlineStr">
        <is>
          <t>ER3D-TAZA-001-RED-BULL</t>
        </is>
      </c>
      <c r="C81" s="304" t="inlineStr">
        <is>
          <t>Taza de tus ídolos - Red Bull</t>
        </is>
      </c>
      <c r="D81" s="288" t="inlineStr">
        <is>
          <t>TERMOS Y BEBIDAS</t>
        </is>
      </c>
      <c r="E81" s="304" t="inlineStr">
        <is>
          <t>Mates</t>
        </is>
      </c>
      <c r="F81" s="305" t="inlineStr">
        <is>
          <t>Variante</t>
        </is>
      </c>
      <c r="G81" s="304" t="inlineStr">
        <is>
          <t>Red Bull</t>
        </is>
      </c>
      <c r="H81" s="290" t="n">
        <v>0</v>
      </c>
      <c r="I81" s="290" t="n">
        <v>0</v>
      </c>
      <c r="J81" s="290" t="n">
        <v>0</v>
      </c>
      <c r="K81" s="290" t="n">
        <v>0</v>
      </c>
      <c r="L81" s="290" t="n">
        <v>0</v>
      </c>
      <c r="M81" s="291">
        <f>H81+I81+J81+K81+L81</f>
        <v/>
      </c>
      <c r="N81" s="292" t="n">
        <v>390</v>
      </c>
      <c r="O81" s="306" t="n"/>
      <c r="P81" s="294">
        <f>IF(N81&gt;0,N81-M81,0)</f>
        <v/>
      </c>
      <c r="Q81" s="295">
        <f>IF(N81&gt;0,P81/N81*100,0)</f>
        <v/>
      </c>
      <c r="R81" s="303" t="n">
        <v>0</v>
      </c>
      <c r="S81" s="303" t="n">
        <v>0</v>
      </c>
      <c r="T81" s="296" t="inlineStr">
        <is>
          <t>SI</t>
        </is>
      </c>
    </row>
    <row r="82" ht="16" customHeight="1">
      <c r="A82" s="307" t="n">
        <v>79</v>
      </c>
      <c r="B82" s="308" t="inlineStr">
        <is>
          <t>ER3D-TAZA-001-MAX-VERSTA</t>
        </is>
      </c>
      <c r="C82" s="308" t="inlineStr">
        <is>
          <t>Taza de tus ídolos - Max Verstappen 2026</t>
        </is>
      </c>
      <c r="D82" s="288" t="inlineStr">
        <is>
          <t>TERMOS Y BEBIDAS</t>
        </is>
      </c>
      <c r="E82" s="308" t="inlineStr">
        <is>
          <t>Mates</t>
        </is>
      </c>
      <c r="F82" s="305" t="inlineStr">
        <is>
          <t>Variante</t>
        </is>
      </c>
      <c r="G82" s="308" t="inlineStr">
        <is>
          <t>Max Verstappen 2026</t>
        </is>
      </c>
      <c r="H82" s="290" t="n">
        <v>0</v>
      </c>
      <c r="I82" s="290" t="n">
        <v>0</v>
      </c>
      <c r="J82" s="290" t="n">
        <v>0</v>
      </c>
      <c r="K82" s="290" t="n">
        <v>0</v>
      </c>
      <c r="L82" s="290" t="n">
        <v>0</v>
      </c>
      <c r="M82" s="291">
        <f>H82+I82+J82+K82+L82</f>
        <v/>
      </c>
      <c r="N82" s="292" t="n">
        <v>390</v>
      </c>
      <c r="O82" s="309" t="n"/>
      <c r="P82" s="294">
        <f>IF(N82&gt;0,N82-M82,0)</f>
        <v/>
      </c>
      <c r="Q82" s="295">
        <f>IF(N82&gt;0,P82/N82*100,0)</f>
        <v/>
      </c>
      <c r="R82" s="307" t="n">
        <v>0</v>
      </c>
      <c r="S82" s="307" t="n">
        <v>0</v>
      </c>
      <c r="T82" s="296" t="inlineStr">
        <is>
          <t>SI</t>
        </is>
      </c>
    </row>
    <row r="83" ht="16" customHeight="1">
      <c r="A83" s="303" t="n">
        <v>80</v>
      </c>
      <c r="B83" s="304" t="inlineStr">
        <is>
          <t>ER3D-TAZA-001-MAX-VERSTA</t>
        </is>
      </c>
      <c r="C83" s="304" t="inlineStr">
        <is>
          <t>Taza de tus ídolos - Max Verstappen</t>
        </is>
      </c>
      <c r="D83" s="288" t="inlineStr">
        <is>
          <t>TERMOS Y BEBIDAS</t>
        </is>
      </c>
      <c r="E83" s="304" t="inlineStr">
        <is>
          <t>Mates</t>
        </is>
      </c>
      <c r="F83" s="305" t="inlineStr">
        <is>
          <t>Variante</t>
        </is>
      </c>
      <c r="G83" s="304" t="inlineStr">
        <is>
          <t>Max Verstappen</t>
        </is>
      </c>
      <c r="H83" s="290" t="n">
        <v>0</v>
      </c>
      <c r="I83" s="290" t="n">
        <v>0</v>
      </c>
      <c r="J83" s="290" t="n">
        <v>0</v>
      </c>
      <c r="K83" s="290" t="n">
        <v>0</v>
      </c>
      <c r="L83" s="290" t="n">
        <v>0</v>
      </c>
      <c r="M83" s="291">
        <f>H83+I83+J83+K83+L83</f>
        <v/>
      </c>
      <c r="N83" s="292" t="n">
        <v>390</v>
      </c>
      <c r="O83" s="306" t="n"/>
      <c r="P83" s="294">
        <f>IF(N83&gt;0,N83-M83,0)</f>
        <v/>
      </c>
      <c r="Q83" s="295">
        <f>IF(N83&gt;0,P83/N83*100,0)</f>
        <v/>
      </c>
      <c r="R83" s="303" t="n">
        <v>0</v>
      </c>
      <c r="S83" s="303" t="n">
        <v>0</v>
      </c>
      <c r="T83" s="296" t="inlineStr">
        <is>
          <t>SI</t>
        </is>
      </c>
    </row>
    <row r="84" ht="16" customHeight="1">
      <c r="A84" s="307" t="n">
        <v>81</v>
      </c>
      <c r="B84" s="308" t="inlineStr">
        <is>
          <t>ER3D-TAZA-001-SENNA-MP44</t>
        </is>
      </c>
      <c r="C84" s="308" t="inlineStr">
        <is>
          <t>Taza de tus ídolos - Senna MP4/4 Coche</t>
        </is>
      </c>
      <c r="D84" s="288" t="inlineStr">
        <is>
          <t>TERMOS Y BEBIDAS</t>
        </is>
      </c>
      <c r="E84" s="308" t="inlineStr">
        <is>
          <t>Mates</t>
        </is>
      </c>
      <c r="F84" s="305" t="inlineStr">
        <is>
          <t>Variante</t>
        </is>
      </c>
      <c r="G84" s="308" t="inlineStr">
        <is>
          <t>Senna MP4/4 Coche</t>
        </is>
      </c>
      <c r="H84" s="290" t="n">
        <v>0</v>
      </c>
      <c r="I84" s="290" t="n">
        <v>0</v>
      </c>
      <c r="J84" s="290" t="n">
        <v>0</v>
      </c>
      <c r="K84" s="290" t="n">
        <v>0</v>
      </c>
      <c r="L84" s="290" t="n">
        <v>0</v>
      </c>
      <c r="M84" s="291">
        <f>H84+I84+J84+K84+L84</f>
        <v/>
      </c>
      <c r="N84" s="292" t="n">
        <v>390</v>
      </c>
      <c r="O84" s="309" t="n"/>
      <c r="P84" s="294">
        <f>IF(N84&gt;0,N84-M84,0)</f>
        <v/>
      </c>
      <c r="Q84" s="295">
        <f>IF(N84&gt;0,P84/N84*100,0)</f>
        <v/>
      </c>
      <c r="R84" s="307" t="n">
        <v>0</v>
      </c>
      <c r="S84" s="307" t="n">
        <v>0</v>
      </c>
      <c r="T84" s="296" t="inlineStr">
        <is>
          <t>SI</t>
        </is>
      </c>
    </row>
    <row r="85" ht="16" customHeight="1">
      <c r="A85" s="303" t="n">
        <v>82</v>
      </c>
      <c r="B85" s="304" t="inlineStr">
        <is>
          <t>ER3D-TAZA-001-SENNA-MP44</t>
        </is>
      </c>
      <c r="C85" s="304" t="inlineStr">
        <is>
          <t>Taza de tus ídolos - Senna MP4/4 Sponsors</t>
        </is>
      </c>
      <c r="D85" s="288" t="inlineStr">
        <is>
          <t>TERMOS Y BEBIDAS</t>
        </is>
      </c>
      <c r="E85" s="304" t="inlineStr">
        <is>
          <t>Mates</t>
        </is>
      </c>
      <c r="F85" s="305" t="inlineStr">
        <is>
          <t>Variante</t>
        </is>
      </c>
      <c r="G85" s="304" t="inlineStr">
        <is>
          <t>Senna MP4/4 Sponsors</t>
        </is>
      </c>
      <c r="H85" s="290" t="n">
        <v>0</v>
      </c>
      <c r="I85" s="290" t="n">
        <v>0</v>
      </c>
      <c r="J85" s="290" t="n">
        <v>0</v>
      </c>
      <c r="K85" s="290" t="n">
        <v>0</v>
      </c>
      <c r="L85" s="290" t="n">
        <v>0</v>
      </c>
      <c r="M85" s="291">
        <f>H85+I85+J85+K85+L85</f>
        <v/>
      </c>
      <c r="N85" s="292" t="n">
        <v>390</v>
      </c>
      <c r="O85" s="306" t="n"/>
      <c r="P85" s="294">
        <f>IF(N85&gt;0,N85-M85,0)</f>
        <v/>
      </c>
      <c r="Q85" s="295">
        <f>IF(N85&gt;0,P85/N85*100,0)</f>
        <v/>
      </c>
      <c r="R85" s="303" t="n">
        <v>0</v>
      </c>
      <c r="S85" s="303" t="n">
        <v>0</v>
      </c>
      <c r="T85" s="296" t="inlineStr">
        <is>
          <t>SI</t>
        </is>
      </c>
    </row>
    <row r="86" ht="16" customHeight="1">
      <c r="A86" s="307" t="n">
        <v>83</v>
      </c>
      <c r="B86" s="308" t="inlineStr">
        <is>
          <t>ER3D-TAZA-001-SENNA-CASC</t>
        </is>
      </c>
      <c r="C86" s="308" t="inlineStr">
        <is>
          <t>Taza de tus ídolos - Senna Casco</t>
        </is>
      </c>
      <c r="D86" s="288" t="inlineStr">
        <is>
          <t>TERMOS Y BEBIDAS</t>
        </is>
      </c>
      <c r="E86" s="308" t="inlineStr">
        <is>
          <t>Mates</t>
        </is>
      </c>
      <c r="F86" s="305" t="inlineStr">
        <is>
          <t>Variante</t>
        </is>
      </c>
      <c r="G86" s="308" t="inlineStr">
        <is>
          <t>Senna Casco</t>
        </is>
      </c>
      <c r="H86" s="290" t="n">
        <v>0</v>
      </c>
      <c r="I86" s="290" t="n">
        <v>0</v>
      </c>
      <c r="J86" s="290" t="n">
        <v>0</v>
      </c>
      <c r="K86" s="290" t="n">
        <v>0</v>
      </c>
      <c r="L86" s="290" t="n">
        <v>0</v>
      </c>
      <c r="M86" s="291">
        <f>H86+I86+J86+K86+L86</f>
        <v/>
      </c>
      <c r="N86" s="292" t="n">
        <v>390</v>
      </c>
      <c r="O86" s="309" t="n"/>
      <c r="P86" s="294">
        <f>IF(N86&gt;0,N86-M86,0)</f>
        <v/>
      </c>
      <c r="Q86" s="295">
        <f>IF(N86&gt;0,P86/N86*100,0)</f>
        <v/>
      </c>
      <c r="R86" s="307" t="n">
        <v>0</v>
      </c>
      <c r="S86" s="307" t="n">
        <v>0</v>
      </c>
      <c r="T86" s="296" t="inlineStr">
        <is>
          <t>SI</t>
        </is>
      </c>
    </row>
    <row r="87" ht="16" customHeight="1">
      <c r="A87" s="303" t="n">
        <v>84</v>
      </c>
      <c r="B87" s="304" t="inlineStr">
        <is>
          <t>ER3D-TAZA-001-SENNA-FOTO</t>
        </is>
      </c>
      <c r="C87" s="304" t="inlineStr">
        <is>
          <t>Taza de tus ídolos - Senna Fotos</t>
        </is>
      </c>
      <c r="D87" s="288" t="inlineStr">
        <is>
          <t>TERMOS Y BEBIDAS</t>
        </is>
      </c>
      <c r="E87" s="304" t="inlineStr">
        <is>
          <t>Mates</t>
        </is>
      </c>
      <c r="F87" s="305" t="inlineStr">
        <is>
          <t>Variante</t>
        </is>
      </c>
      <c r="G87" s="304" t="inlineStr">
        <is>
          <t>Senna Fotos</t>
        </is>
      </c>
      <c r="H87" s="290" t="n">
        <v>0</v>
      </c>
      <c r="I87" s="290" t="n">
        <v>0</v>
      </c>
      <c r="J87" s="290" t="n">
        <v>0</v>
      </c>
      <c r="K87" s="290" t="n">
        <v>0</v>
      </c>
      <c r="L87" s="290" t="n">
        <v>0</v>
      </c>
      <c r="M87" s="291">
        <f>H87+I87+J87+K87+L87</f>
        <v/>
      </c>
      <c r="N87" s="292" t="n">
        <v>390</v>
      </c>
      <c r="O87" s="306" t="n"/>
      <c r="P87" s="294">
        <f>IF(N87&gt;0,N87-M87,0)</f>
        <v/>
      </c>
      <c r="Q87" s="295">
        <f>IF(N87&gt;0,P87/N87*100,0)</f>
        <v/>
      </c>
      <c r="R87" s="303" t="n">
        <v>0</v>
      </c>
      <c r="S87" s="303" t="n">
        <v>0</v>
      </c>
      <c r="T87" s="296" t="inlineStr">
        <is>
          <t>SI</t>
        </is>
      </c>
    </row>
    <row r="88" ht="16" customHeight="1">
      <c r="A88" s="307" t="n">
        <v>85</v>
      </c>
      <c r="B88" s="308" t="inlineStr">
        <is>
          <t>ER3D-TAZA-001-SAINZ-WILL</t>
        </is>
      </c>
      <c r="C88" s="308" t="inlineStr">
        <is>
          <t>Taza de tus ídolos - Sainz Williams</t>
        </is>
      </c>
      <c r="D88" s="288" t="inlineStr">
        <is>
          <t>TERMOS Y BEBIDAS</t>
        </is>
      </c>
      <c r="E88" s="308" t="inlineStr">
        <is>
          <t>Mates</t>
        </is>
      </c>
      <c r="F88" s="305" t="inlineStr">
        <is>
          <t>Variante</t>
        </is>
      </c>
      <c r="G88" s="308" t="inlineStr">
        <is>
          <t>Sainz Williams</t>
        </is>
      </c>
      <c r="H88" s="290" t="n">
        <v>0</v>
      </c>
      <c r="I88" s="290" t="n">
        <v>0</v>
      </c>
      <c r="J88" s="290" t="n">
        <v>0</v>
      </c>
      <c r="K88" s="290" t="n">
        <v>0</v>
      </c>
      <c r="L88" s="290" t="n">
        <v>0</v>
      </c>
      <c r="M88" s="291">
        <f>H88+I88+J88+K88+L88</f>
        <v/>
      </c>
      <c r="N88" s="292" t="n">
        <v>390</v>
      </c>
      <c r="O88" s="309" t="n"/>
      <c r="P88" s="294">
        <f>IF(N88&gt;0,N88-M88,0)</f>
        <v/>
      </c>
      <c r="Q88" s="295">
        <f>IF(N88&gt;0,P88/N88*100,0)</f>
        <v/>
      </c>
      <c r="R88" s="307" t="n">
        <v>0</v>
      </c>
      <c r="S88" s="307" t="n">
        <v>0</v>
      </c>
      <c r="T88" s="296" t="inlineStr">
        <is>
          <t>SI</t>
        </is>
      </c>
    </row>
    <row r="89" ht="16" customHeight="1">
      <c r="A89" s="303" t="n">
        <v>86</v>
      </c>
      <c r="B89" s="304" t="inlineStr">
        <is>
          <t>ER3D-TAZA-001-LANDO-NORR</t>
        </is>
      </c>
      <c r="C89" s="304" t="inlineStr">
        <is>
          <t>Taza de tus ídolos - Lando Norris</t>
        </is>
      </c>
      <c r="D89" s="288" t="inlineStr">
        <is>
          <t>TERMOS Y BEBIDAS</t>
        </is>
      </c>
      <c r="E89" s="304" t="inlineStr">
        <is>
          <t>Mates</t>
        </is>
      </c>
      <c r="F89" s="305" t="inlineStr">
        <is>
          <t>Variante</t>
        </is>
      </c>
      <c r="G89" s="304" t="inlineStr">
        <is>
          <t>Lando Norris</t>
        </is>
      </c>
      <c r="H89" s="290" t="n">
        <v>0</v>
      </c>
      <c r="I89" s="290" t="n">
        <v>0</v>
      </c>
      <c r="J89" s="290" t="n">
        <v>0</v>
      </c>
      <c r="K89" s="290" t="n">
        <v>0</v>
      </c>
      <c r="L89" s="290" t="n">
        <v>0</v>
      </c>
      <c r="M89" s="291">
        <f>H89+I89+J89+K89+L89</f>
        <v/>
      </c>
      <c r="N89" s="292" t="n">
        <v>390</v>
      </c>
      <c r="O89" s="306" t="n"/>
      <c r="P89" s="294">
        <f>IF(N89&gt;0,N89-M89,0)</f>
        <v/>
      </c>
      <c r="Q89" s="295">
        <f>IF(N89&gt;0,P89/N89*100,0)</f>
        <v/>
      </c>
      <c r="R89" s="303" t="n">
        <v>0</v>
      </c>
      <c r="S89" s="303" t="n">
        <v>0</v>
      </c>
      <c r="T89" s="296" t="inlineStr">
        <is>
          <t>SI</t>
        </is>
      </c>
    </row>
    <row r="90" ht="16" customHeight="1">
      <c r="A90" s="307" t="n">
        <v>87</v>
      </c>
      <c r="B90" s="308" t="inlineStr">
        <is>
          <t>ER3D-TAZA-001-OSCAR-PIAS</t>
        </is>
      </c>
      <c r="C90" s="308" t="inlineStr">
        <is>
          <t>Taza de tus ídolos - Oscar Piastri</t>
        </is>
      </c>
      <c r="D90" s="288" t="inlineStr">
        <is>
          <t>TERMOS Y BEBIDAS</t>
        </is>
      </c>
      <c r="E90" s="308" t="inlineStr">
        <is>
          <t>Mates</t>
        </is>
      </c>
      <c r="F90" s="305" t="inlineStr">
        <is>
          <t>Variante</t>
        </is>
      </c>
      <c r="G90" s="308" t="inlineStr">
        <is>
          <t>Oscar Piastri</t>
        </is>
      </c>
      <c r="H90" s="290" t="n">
        <v>0</v>
      </c>
      <c r="I90" s="290" t="n">
        <v>0</v>
      </c>
      <c r="J90" s="290" t="n">
        <v>0</v>
      </c>
      <c r="K90" s="290" t="n">
        <v>0</v>
      </c>
      <c r="L90" s="290" t="n">
        <v>0</v>
      </c>
      <c r="M90" s="291">
        <f>H90+I90+J90+K90+L90</f>
        <v/>
      </c>
      <c r="N90" s="292" t="n">
        <v>390</v>
      </c>
      <c r="O90" s="309" t="n"/>
      <c r="P90" s="294">
        <f>IF(N90&gt;0,N90-M90,0)</f>
        <v/>
      </c>
      <c r="Q90" s="295">
        <f>IF(N90&gt;0,P90/N90*100,0)</f>
        <v/>
      </c>
      <c r="R90" s="307" t="n">
        <v>0</v>
      </c>
      <c r="S90" s="307" t="n">
        <v>0</v>
      </c>
      <c r="T90" s="296" t="inlineStr">
        <is>
          <t>SI</t>
        </is>
      </c>
    </row>
    <row r="91" ht="16" customHeight="1">
      <c r="A91" s="303" t="n">
        <v>88</v>
      </c>
      <c r="B91" s="304" t="inlineStr">
        <is>
          <t>ER3D-TAZA-001-MCLAREN</t>
        </is>
      </c>
      <c r="C91" s="304" t="inlineStr">
        <is>
          <t>Taza de tus ídolos - McLaren</t>
        </is>
      </c>
      <c r="D91" s="288" t="inlineStr">
        <is>
          <t>TERMOS Y BEBIDAS</t>
        </is>
      </c>
      <c r="E91" s="304" t="inlineStr">
        <is>
          <t>Mates</t>
        </is>
      </c>
      <c r="F91" s="305" t="inlineStr">
        <is>
          <t>Variante</t>
        </is>
      </c>
      <c r="G91" s="304" t="inlineStr">
        <is>
          <t>McLaren</t>
        </is>
      </c>
      <c r="H91" s="290" t="n">
        <v>0</v>
      </c>
      <c r="I91" s="290" t="n">
        <v>0</v>
      </c>
      <c r="J91" s="290" t="n">
        <v>0</v>
      </c>
      <c r="K91" s="290" t="n">
        <v>0</v>
      </c>
      <c r="L91" s="290" t="n">
        <v>0</v>
      </c>
      <c r="M91" s="291">
        <f>H91+I91+J91+K91+L91</f>
        <v/>
      </c>
      <c r="N91" s="292" t="n">
        <v>390</v>
      </c>
      <c r="O91" s="306" t="n"/>
      <c r="P91" s="294">
        <f>IF(N91&gt;0,N91-M91,0)</f>
        <v/>
      </c>
      <c r="Q91" s="295">
        <f>IF(N91&gt;0,P91/N91*100,0)</f>
        <v/>
      </c>
      <c r="R91" s="303" t="n">
        <v>0</v>
      </c>
      <c r="S91" s="303" t="n">
        <v>0</v>
      </c>
      <c r="T91" s="296" t="inlineStr">
        <is>
          <t>SI</t>
        </is>
      </c>
    </row>
    <row r="92" ht="16" customHeight="1">
      <c r="A92" s="307" t="n">
        <v>89</v>
      </c>
      <c r="B92" s="308" t="inlineStr">
        <is>
          <t>ER3D-TAZA-001-CHARLES-LE</t>
        </is>
      </c>
      <c r="C92" s="308" t="inlineStr">
        <is>
          <t>Taza de tus ídolos - Charles Leclerc Ferrari</t>
        </is>
      </c>
      <c r="D92" s="288" t="inlineStr">
        <is>
          <t>TERMOS Y BEBIDAS</t>
        </is>
      </c>
      <c r="E92" s="308" t="inlineStr">
        <is>
          <t>Mates</t>
        </is>
      </c>
      <c r="F92" s="305" t="inlineStr">
        <is>
          <t>Variante</t>
        </is>
      </c>
      <c r="G92" s="308" t="inlineStr">
        <is>
          <t>Charles Leclerc Ferrari</t>
        </is>
      </c>
      <c r="H92" s="290" t="n">
        <v>0</v>
      </c>
      <c r="I92" s="290" t="n">
        <v>0</v>
      </c>
      <c r="J92" s="290" t="n">
        <v>0</v>
      </c>
      <c r="K92" s="290" t="n">
        <v>0</v>
      </c>
      <c r="L92" s="290" t="n">
        <v>0</v>
      </c>
      <c r="M92" s="291">
        <f>H92+I92+J92+K92+L92</f>
        <v/>
      </c>
      <c r="N92" s="292" t="n">
        <v>390</v>
      </c>
      <c r="O92" s="309" t="n"/>
      <c r="P92" s="294">
        <f>IF(N92&gt;0,N92-M92,0)</f>
        <v/>
      </c>
      <c r="Q92" s="295">
        <f>IF(N92&gt;0,P92/N92*100,0)</f>
        <v/>
      </c>
      <c r="R92" s="307" t="n">
        <v>0</v>
      </c>
      <c r="S92" s="307" t="n">
        <v>0</v>
      </c>
      <c r="T92" s="296" t="inlineStr">
        <is>
          <t>SI</t>
        </is>
      </c>
    </row>
    <row r="93" ht="16" customHeight="1">
      <c r="A93" s="303" t="n">
        <v>90</v>
      </c>
      <c r="B93" s="304" t="inlineStr">
        <is>
          <t>ER3D-TAZA-001-CHARLES-LE</t>
        </is>
      </c>
      <c r="C93" s="304" t="inlineStr">
        <is>
          <t>Taza de tus ídolos - Charles Leclerc Fotos</t>
        </is>
      </c>
      <c r="D93" s="288" t="inlineStr">
        <is>
          <t>TERMOS Y BEBIDAS</t>
        </is>
      </c>
      <c r="E93" s="304" t="inlineStr">
        <is>
          <t>Mates</t>
        </is>
      </c>
      <c r="F93" s="305" t="inlineStr">
        <is>
          <t>Variante</t>
        </is>
      </c>
      <c r="G93" s="304" t="inlineStr">
        <is>
          <t>Charles Leclerc Fotos</t>
        </is>
      </c>
      <c r="H93" s="290" t="n">
        <v>0</v>
      </c>
      <c r="I93" s="290" t="n">
        <v>0</v>
      </c>
      <c r="J93" s="290" t="n">
        <v>0</v>
      </c>
      <c r="K93" s="290" t="n">
        <v>0</v>
      </c>
      <c r="L93" s="290" t="n">
        <v>0</v>
      </c>
      <c r="M93" s="291">
        <f>H93+I93+J93+K93+L93</f>
        <v/>
      </c>
      <c r="N93" s="292" t="n">
        <v>390</v>
      </c>
      <c r="O93" s="306" t="n"/>
      <c r="P93" s="294">
        <f>IF(N93&gt;0,N93-M93,0)</f>
        <v/>
      </c>
      <c r="Q93" s="295">
        <f>IF(N93&gt;0,P93/N93*100,0)</f>
        <v/>
      </c>
      <c r="R93" s="303" t="n">
        <v>0</v>
      </c>
      <c r="S93" s="303" t="n">
        <v>0</v>
      </c>
      <c r="T93" s="296" t="inlineStr">
        <is>
          <t>SI</t>
        </is>
      </c>
    </row>
    <row r="94" ht="16" customHeight="1">
      <c r="A94" s="307" t="n">
        <v>91</v>
      </c>
      <c r="B94" s="308" t="inlineStr">
        <is>
          <t>ER3D-TAZA-001-HAMILTON-F</t>
        </is>
      </c>
      <c r="C94" s="308" t="inlineStr">
        <is>
          <t>Taza de tus ídolos - Hamilton Ferrari</t>
        </is>
      </c>
      <c r="D94" s="288" t="inlineStr">
        <is>
          <t>TERMOS Y BEBIDAS</t>
        </is>
      </c>
      <c r="E94" s="308" t="inlineStr">
        <is>
          <t>Mates</t>
        </is>
      </c>
      <c r="F94" s="305" t="inlineStr">
        <is>
          <t>Variante</t>
        </is>
      </c>
      <c r="G94" s="308" t="inlineStr">
        <is>
          <t>Hamilton Ferrari</t>
        </is>
      </c>
      <c r="H94" s="290" t="n">
        <v>0</v>
      </c>
      <c r="I94" s="290" t="n">
        <v>0</v>
      </c>
      <c r="J94" s="290" t="n">
        <v>0</v>
      </c>
      <c r="K94" s="290" t="n">
        <v>0</v>
      </c>
      <c r="L94" s="290" t="n">
        <v>0</v>
      </c>
      <c r="M94" s="291">
        <f>H94+I94+J94+K94+L94</f>
        <v/>
      </c>
      <c r="N94" s="292" t="n">
        <v>390</v>
      </c>
      <c r="O94" s="309" t="n"/>
      <c r="P94" s="294">
        <f>IF(N94&gt;0,N94-M94,0)</f>
        <v/>
      </c>
      <c r="Q94" s="295">
        <f>IF(N94&gt;0,P94/N94*100,0)</f>
        <v/>
      </c>
      <c r="R94" s="307" t="n">
        <v>0</v>
      </c>
      <c r="S94" s="307" t="n">
        <v>0</v>
      </c>
      <c r="T94" s="296" t="inlineStr">
        <is>
          <t>SI</t>
        </is>
      </c>
    </row>
    <row r="95" ht="16" customHeight="1">
      <c r="A95" s="303" t="n">
        <v>92</v>
      </c>
      <c r="B95" s="304" t="inlineStr">
        <is>
          <t>ER3D-TAZA-001-HAMILTON-F</t>
        </is>
      </c>
      <c r="C95" s="304" t="inlineStr">
        <is>
          <t>Taza de tus ídolos - Hamilton Fotos</t>
        </is>
      </c>
      <c r="D95" s="288" t="inlineStr">
        <is>
          <t>TERMOS Y BEBIDAS</t>
        </is>
      </c>
      <c r="E95" s="304" t="inlineStr">
        <is>
          <t>Mates</t>
        </is>
      </c>
      <c r="F95" s="305" t="inlineStr">
        <is>
          <t>Variante</t>
        </is>
      </c>
      <c r="G95" s="304" t="inlineStr">
        <is>
          <t>Hamilton Fotos</t>
        </is>
      </c>
      <c r="H95" s="290" t="n">
        <v>0</v>
      </c>
      <c r="I95" s="290" t="n">
        <v>0</v>
      </c>
      <c r="J95" s="290" t="n">
        <v>0</v>
      </c>
      <c r="K95" s="290" t="n">
        <v>0</v>
      </c>
      <c r="L95" s="290" t="n">
        <v>0</v>
      </c>
      <c r="M95" s="291">
        <f>H95+I95+J95+K95+L95</f>
        <v/>
      </c>
      <c r="N95" s="292" t="n">
        <v>390</v>
      </c>
      <c r="O95" s="306" t="n"/>
      <c r="P95" s="294">
        <f>IF(N95&gt;0,N95-M95,0)</f>
        <v/>
      </c>
      <c r="Q95" s="295">
        <f>IF(N95&gt;0,P95/N95*100,0)</f>
        <v/>
      </c>
      <c r="R95" s="303" t="n">
        <v>0</v>
      </c>
      <c r="S95" s="303" t="n">
        <v>0</v>
      </c>
      <c r="T95" s="296" t="inlineStr">
        <is>
          <t>SI</t>
        </is>
      </c>
    </row>
    <row r="96" ht="16" customHeight="1">
      <c r="A96" s="307" t="n">
        <v>93</v>
      </c>
      <c r="B96" s="308" t="inlineStr">
        <is>
          <t>ER3D-TAZA-001-ALONSO-AST</t>
        </is>
      </c>
      <c r="C96" s="308" t="inlineStr">
        <is>
          <t>Taza de tus ídolos - Alonso Aston Martin</t>
        </is>
      </c>
      <c r="D96" s="288" t="inlineStr">
        <is>
          <t>TERMOS Y BEBIDAS</t>
        </is>
      </c>
      <c r="E96" s="308" t="inlineStr">
        <is>
          <t>Mates</t>
        </is>
      </c>
      <c r="F96" s="305" t="inlineStr">
        <is>
          <t>Variante</t>
        </is>
      </c>
      <c r="G96" s="308" t="inlineStr">
        <is>
          <t>Alonso Aston Martin</t>
        </is>
      </c>
      <c r="H96" s="290" t="n">
        <v>0</v>
      </c>
      <c r="I96" s="290" t="n">
        <v>0</v>
      </c>
      <c r="J96" s="290" t="n">
        <v>0</v>
      </c>
      <c r="K96" s="290" t="n">
        <v>0</v>
      </c>
      <c r="L96" s="290" t="n">
        <v>0</v>
      </c>
      <c r="M96" s="291">
        <f>H96+I96+J96+K96+L96</f>
        <v/>
      </c>
      <c r="N96" s="292" t="n">
        <v>390</v>
      </c>
      <c r="O96" s="309" t="n"/>
      <c r="P96" s="294">
        <f>IF(N96&gt;0,N96-M96,0)</f>
        <v/>
      </c>
      <c r="Q96" s="295">
        <f>IF(N96&gt;0,P96/N96*100,0)</f>
        <v/>
      </c>
      <c r="R96" s="307" t="n">
        <v>0</v>
      </c>
      <c r="S96" s="307" t="n">
        <v>0</v>
      </c>
      <c r="T96" s="296" t="inlineStr">
        <is>
          <t>SI</t>
        </is>
      </c>
    </row>
    <row r="97" ht="16" customHeight="1">
      <c r="A97" s="303" t="n">
        <v>94</v>
      </c>
      <c r="B97" s="304" t="inlineStr">
        <is>
          <t>ER3D-TAZA-001-ALONSO-REN</t>
        </is>
      </c>
      <c r="C97" s="304" t="inlineStr">
        <is>
          <t>Taza de tus ídolos - Alonso Renault</t>
        </is>
      </c>
      <c r="D97" s="288" t="inlineStr">
        <is>
          <t>TERMOS Y BEBIDAS</t>
        </is>
      </c>
      <c r="E97" s="304" t="inlineStr">
        <is>
          <t>Mates</t>
        </is>
      </c>
      <c r="F97" s="305" t="inlineStr">
        <is>
          <t>Variante</t>
        </is>
      </c>
      <c r="G97" s="304" t="inlineStr">
        <is>
          <t>Alonso Renault</t>
        </is>
      </c>
      <c r="H97" s="290" t="n">
        <v>0</v>
      </c>
      <c r="I97" s="290" t="n">
        <v>0</v>
      </c>
      <c r="J97" s="290" t="n">
        <v>0</v>
      </c>
      <c r="K97" s="290" t="n">
        <v>0</v>
      </c>
      <c r="L97" s="290" t="n">
        <v>0</v>
      </c>
      <c r="M97" s="291">
        <f>H97+I97+J97+K97+L97</f>
        <v/>
      </c>
      <c r="N97" s="292" t="n">
        <v>390</v>
      </c>
      <c r="O97" s="306" t="n"/>
      <c r="P97" s="294">
        <f>IF(N97&gt;0,N97-M97,0)</f>
        <v/>
      </c>
      <c r="Q97" s="295">
        <f>IF(N97&gt;0,P97/N97*100,0)</f>
        <v/>
      </c>
      <c r="R97" s="303" t="n">
        <v>0</v>
      </c>
      <c r="S97" s="303" t="n">
        <v>0</v>
      </c>
      <c r="T97" s="296" t="inlineStr">
        <is>
          <t>SI</t>
        </is>
      </c>
    </row>
    <row r="98" ht="16" customHeight="1">
      <c r="A98" s="307" t="n">
        <v>95</v>
      </c>
      <c r="B98" s="308" t="inlineStr">
        <is>
          <t>ER3D-TAZA-001-BOTTAS-CAD</t>
        </is>
      </c>
      <c r="C98" s="308" t="inlineStr">
        <is>
          <t>Taza de tus ídolos - Bottas Cadillac</t>
        </is>
      </c>
      <c r="D98" s="288" t="inlineStr">
        <is>
          <t>TERMOS Y BEBIDAS</t>
        </is>
      </c>
      <c r="E98" s="308" t="inlineStr">
        <is>
          <t>Mates</t>
        </is>
      </c>
      <c r="F98" s="305" t="inlineStr">
        <is>
          <t>Variante</t>
        </is>
      </c>
      <c r="G98" s="308" t="inlineStr">
        <is>
          <t>Bottas Cadillac</t>
        </is>
      </c>
      <c r="H98" s="290" t="n">
        <v>0</v>
      </c>
      <c r="I98" s="290" t="n">
        <v>0</v>
      </c>
      <c r="J98" s="290" t="n">
        <v>0</v>
      </c>
      <c r="K98" s="290" t="n">
        <v>0</v>
      </c>
      <c r="L98" s="290" t="n">
        <v>0</v>
      </c>
      <c r="M98" s="291">
        <f>H98+I98+J98+K98+L98</f>
        <v/>
      </c>
      <c r="N98" s="292" t="n">
        <v>390</v>
      </c>
      <c r="O98" s="309" t="n"/>
      <c r="P98" s="294">
        <f>IF(N98&gt;0,N98-M98,0)</f>
        <v/>
      </c>
      <c r="Q98" s="295">
        <f>IF(N98&gt;0,P98/N98*100,0)</f>
        <v/>
      </c>
      <c r="R98" s="307" t="n">
        <v>0</v>
      </c>
      <c r="S98" s="307" t="n">
        <v>0</v>
      </c>
      <c r="T98" s="296" t="inlineStr">
        <is>
          <t>SI</t>
        </is>
      </c>
    </row>
    <row r="99" ht="16" customHeight="1">
      <c r="A99" s="303" t="n">
        <v>96</v>
      </c>
      <c r="B99" s="304" t="inlineStr">
        <is>
          <t>ER3D-TAZA-001-CHECO-CADI</t>
        </is>
      </c>
      <c r="C99" s="304" t="inlineStr">
        <is>
          <t>Taza de tus ídolos - Checo Cadillac</t>
        </is>
      </c>
      <c r="D99" s="288" t="inlineStr">
        <is>
          <t>TERMOS Y BEBIDAS</t>
        </is>
      </c>
      <c r="E99" s="304" t="inlineStr">
        <is>
          <t>Mates</t>
        </is>
      </c>
      <c r="F99" s="305" t="inlineStr">
        <is>
          <t>Variante</t>
        </is>
      </c>
      <c r="G99" s="304" t="inlineStr">
        <is>
          <t>Checo Cadillac</t>
        </is>
      </c>
      <c r="H99" s="290" t="n">
        <v>0</v>
      </c>
      <c r="I99" s="290" t="n">
        <v>0</v>
      </c>
      <c r="J99" s="290" t="n">
        <v>0</v>
      </c>
      <c r="K99" s="290" t="n">
        <v>0</v>
      </c>
      <c r="L99" s="290" t="n">
        <v>0</v>
      </c>
      <c r="M99" s="291">
        <f>H99+I99+J99+K99+L99</f>
        <v/>
      </c>
      <c r="N99" s="292" t="n">
        <v>390</v>
      </c>
      <c r="O99" s="306" t="n"/>
      <c r="P99" s="294">
        <f>IF(N99&gt;0,N99-M99,0)</f>
        <v/>
      </c>
      <c r="Q99" s="295">
        <f>IF(N99&gt;0,P99/N99*100,0)</f>
        <v/>
      </c>
      <c r="R99" s="303" t="n">
        <v>0</v>
      </c>
      <c r="S99" s="303" t="n">
        <v>0</v>
      </c>
      <c r="T99" s="296" t="inlineStr">
        <is>
          <t>SI</t>
        </is>
      </c>
    </row>
    <row r="100" ht="16" customHeight="1">
      <c r="A100" s="307" t="n">
        <v>97</v>
      </c>
      <c r="B100" s="308" t="inlineStr">
        <is>
          <t>ER3D-HOODIE-001-SENNA-VINT</t>
        </is>
      </c>
      <c r="C100" s="308" t="inlineStr">
        <is>
          <t>Hoodie escuderías — Senna Vintage</t>
        </is>
      </c>
      <c r="D100" s="311" t="inlineStr">
        <is>
          <t>INDUMENTARIA</t>
        </is>
      </c>
      <c r="E100" s="308" t="inlineStr">
        <is>
          <t>Hoodies &amp; Ropa</t>
        </is>
      </c>
      <c r="F100" s="305" t="inlineStr">
        <is>
          <t>Variante</t>
        </is>
      </c>
      <c r="G100" s="308" t="inlineStr">
        <is>
          <t>Senna Vintage</t>
        </is>
      </c>
      <c r="H100" s="290" t="n">
        <v>0</v>
      </c>
      <c r="I100" s="290" t="n">
        <v>0</v>
      </c>
      <c r="J100" s="290" t="n">
        <v>0</v>
      </c>
      <c r="K100" s="290" t="n">
        <v>0</v>
      </c>
      <c r="L100" s="290" t="n">
        <v>0</v>
      </c>
      <c r="M100" s="291">
        <f>H100+I100+J100+K100+L100</f>
        <v/>
      </c>
      <c r="N100" s="292" t="n">
        <v>1890</v>
      </c>
      <c r="O100" s="309" t="n"/>
      <c r="P100" s="294">
        <f>IF(N100&gt;0,N100-M100,0)</f>
        <v/>
      </c>
      <c r="Q100" s="295">
        <f>IF(N100&gt;0,P100/N100*100,0)</f>
        <v/>
      </c>
      <c r="R100" s="307" t="n">
        <v>0</v>
      </c>
      <c r="S100" s="307" t="n">
        <v>0</v>
      </c>
      <c r="T100" s="296" t="inlineStr">
        <is>
          <t>SI</t>
        </is>
      </c>
    </row>
  </sheetData>
  <mergeCells count="9">
    <mergeCell ref="A1:T1"/>
    <mergeCell ref="A8:T8"/>
    <mergeCell ref="A12:T12"/>
    <mergeCell ref="A4:T4"/>
    <mergeCell ref="A7:T7"/>
    <mergeCell ref="A2:T2"/>
    <mergeCell ref="A42:T42"/>
    <mergeCell ref="A13:T13"/>
    <mergeCell ref="A11:T11"/>
  </mergeCells>
  <dataValidations count="2">
    <dataValidation sqref="D4:D100" showDropDown="0" showInputMessage="0" showErrorMessage="0" allowBlank="1" type="list">
      <formula1>"IMPRESIÓN 3D,INDUMENTARIA,TERMOS Y BEBIDAS,ILUMINACIÓN,PERSONALIZADOS"</formula1>
    </dataValidation>
    <dataValidation sqref="T4:T100" showDropDown="0" showInputMessage="0" showErrorMessage="0" allowBlank="0" type="list">
      <formula1>"SI,NO"</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2E7D32"/>
    <outlinePr summaryBelow="1" summaryRight="1"/>
    <pageSetUpPr/>
  </sheetPr>
  <dimension ref="A1:T10"/>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15" customWidth="1" min="3" max="3"/>
    <col width="14" customWidth="1" min="4" max="4"/>
    <col width="22" customWidth="1" min="5" max="5"/>
    <col width="16" customWidth="1" min="6" max="6"/>
    <col width="14" customWidth="1" min="7" max="7"/>
    <col width="14" customWidth="1" min="8" max="8"/>
    <col width="10" customWidth="1" min="9" max="9"/>
    <col width="13" customWidth="1" min="10" max="10"/>
    <col width="13" customWidth="1" min="11" max="11"/>
    <col width="12" customWidth="1" min="12" max="12"/>
    <col width="13" customWidth="1" min="13" max="13"/>
    <col width="13" customWidth="1" min="14" max="14"/>
    <col width="13" customWidth="1" min="15" max="15"/>
    <col width="14" customWidth="1" min="16" max="16"/>
    <col width="12" customWidth="1" min="17" max="17"/>
    <col width="6" customWidth="1" min="18" max="18"/>
    <col width="6" customWidth="1" min="19" max="19"/>
    <col width="6" customWidth="1" min="20" max="20"/>
  </cols>
  <sheetData>
    <row r="1" ht="28" customHeight="1">
      <c r="A1" s="22" t="inlineStr">
        <is>
          <t>👤  CLIENTES — CRM MAESTRO</t>
        </is>
      </c>
    </row>
    <row r="2" ht="22" customHeight="1">
      <c r="A2" s="193" t="inlineStr">
        <is>
          <t>ID Cliente</t>
        </is>
      </c>
      <c r="B2" s="193" t="inlineStr">
        <is>
          <t>Nombre</t>
        </is>
      </c>
      <c r="C2" s="193" t="inlineStr">
        <is>
          <t>Apellido</t>
        </is>
      </c>
      <c r="D2" s="193" t="inlineStr">
        <is>
          <t>Teléfono</t>
        </is>
      </c>
      <c r="E2" s="193" t="inlineStr">
        <is>
          <t>Email</t>
        </is>
      </c>
      <c r="F2" s="193" t="inlineStr">
        <is>
          <t>Instagram</t>
        </is>
      </c>
      <c r="G2" s="193" t="inlineStr">
        <is>
          <t>Ciudad</t>
        </is>
      </c>
      <c r="H2" s="193" t="inlineStr">
        <is>
          <t>Departamento</t>
        </is>
      </c>
      <c r="I2" s="193" t="inlineStr">
        <is>
          <t>País</t>
        </is>
      </c>
      <c r="J2" s="193" t="inlineStr">
        <is>
          <t>1ra Compra</t>
        </is>
      </c>
      <c r="K2" s="193" t="inlineStr">
        <is>
          <t>Últ. Compra</t>
        </is>
      </c>
      <c r="L2" s="193" t="inlineStr">
        <is>
          <t>Cant. Pedidos</t>
        </is>
      </c>
      <c r="M2" s="193" t="inlineStr">
        <is>
          <t>Facturación</t>
        </is>
      </c>
      <c r="N2" s="193" t="inlineStr">
        <is>
          <t>Ganancia</t>
        </is>
      </c>
      <c r="O2" s="193" t="inlineStr">
        <is>
          <t>Ticket Prom.</t>
        </is>
      </c>
      <c r="P2" s="193" t="inlineStr">
        <is>
          <t>Canal Adq.</t>
        </is>
      </c>
      <c r="Q2" s="193" t="inlineStr">
        <is>
          <t>Segmento</t>
        </is>
      </c>
      <c r="R2" s="193" t="inlineStr">
        <is>
          <t>R</t>
        </is>
      </c>
      <c r="S2" s="193" t="inlineStr">
        <is>
          <t>F</t>
        </is>
      </c>
      <c r="T2" s="193" t="inlineStr">
        <is>
          <t>M</t>
        </is>
      </c>
    </row>
    <row r="3" ht="16" customHeight="1">
      <c r="A3" s="49" t="n">
        <v>1</v>
      </c>
      <c r="B3" s="51" t="inlineStr">
        <is>
          <t>Martín</t>
        </is>
      </c>
      <c r="C3" s="51" t="inlineStr">
        <is>
          <t>García</t>
        </is>
      </c>
      <c r="D3" s="51" t="inlineStr">
        <is>
          <t>099123456</t>
        </is>
      </c>
      <c r="E3" s="51" t="inlineStr">
        <is>
          <t>martin@email.com</t>
        </is>
      </c>
      <c r="F3" s="51" t="inlineStr">
        <is>
          <t>@martin_f1</t>
        </is>
      </c>
      <c r="G3" s="51" t="inlineStr">
        <is>
          <t>Montevideo</t>
        </is>
      </c>
      <c r="H3" s="51" t="inlineStr">
        <is>
          <t>Montevideo</t>
        </is>
      </c>
      <c r="I3" s="51" t="inlineStr">
        <is>
          <t>UY</t>
        </is>
      </c>
      <c r="J3" s="50" t="inlineStr">
        <is>
          <t>2024-01-15</t>
        </is>
      </c>
      <c r="K3" s="50" t="inlineStr">
        <is>
          <t>2025-05-10</t>
        </is>
      </c>
      <c r="L3" s="49" t="n">
        <v>8</v>
      </c>
      <c r="M3" s="53" t="n">
        <v>12500</v>
      </c>
      <c r="N3" s="53" t="n">
        <v>4800</v>
      </c>
      <c r="O3" s="53" t="n">
        <v>1562</v>
      </c>
      <c r="P3" s="51" t="inlineStr">
        <is>
          <t>Instagram</t>
        </is>
      </c>
      <c r="Q3" s="52" t="inlineStr">
        <is>
          <t>VIP</t>
        </is>
      </c>
      <c r="R3" s="26" t="n">
        <v>5</v>
      </c>
      <c r="S3" s="26" t="n">
        <v>4</v>
      </c>
      <c r="T3" s="26" t="n">
        <v>5</v>
      </c>
    </row>
    <row r="4" ht="16" customHeight="1">
      <c r="A4" s="55" t="n">
        <v>2</v>
      </c>
      <c r="B4" s="186" t="inlineStr">
        <is>
          <t>Laura</t>
        </is>
      </c>
      <c r="C4" s="186" t="inlineStr">
        <is>
          <t>Rodríguez</t>
        </is>
      </c>
      <c r="D4" s="186" t="inlineStr">
        <is>
          <t>098234567</t>
        </is>
      </c>
      <c r="E4" s="186" t="inlineStr">
        <is>
          <t>laura@email.com</t>
        </is>
      </c>
      <c r="F4" s="186" t="inlineStr">
        <is>
          <t>@laura_gr</t>
        </is>
      </c>
      <c r="G4" s="186" t="inlineStr">
        <is>
          <t>Salto</t>
        </is>
      </c>
      <c r="H4" s="186" t="inlineStr">
        <is>
          <t>Salto</t>
        </is>
      </c>
      <c r="I4" s="186" t="inlineStr">
        <is>
          <t>UY</t>
        </is>
      </c>
      <c r="J4" s="56" t="inlineStr">
        <is>
          <t>2024-03-20</t>
        </is>
      </c>
      <c r="K4" s="56" t="inlineStr">
        <is>
          <t>2025-04-28</t>
        </is>
      </c>
      <c r="L4" s="55" t="n">
        <v>3</v>
      </c>
      <c r="M4" s="187" t="n">
        <v>3800</v>
      </c>
      <c r="N4" s="187" t="n">
        <v>1420</v>
      </c>
      <c r="O4" s="187" t="n">
        <v>1267</v>
      </c>
      <c r="P4" s="186" t="inlineStr">
        <is>
          <t>WhatsApp</t>
        </is>
      </c>
      <c r="Q4" s="103" t="inlineStr">
        <is>
          <t>Frecuente</t>
        </is>
      </c>
      <c r="R4" s="30" t="n">
        <v>3</v>
      </c>
      <c r="S4" s="30" t="n">
        <v>3</v>
      </c>
      <c r="T4" s="30" t="n">
        <v>3</v>
      </c>
    </row>
    <row r="5" ht="16" customHeight="1">
      <c r="A5" s="49" t="n">
        <v>3</v>
      </c>
      <c r="B5" s="51" t="inlineStr">
        <is>
          <t>Diego</t>
        </is>
      </c>
      <c r="C5" s="51" t="inlineStr">
        <is>
          <t>Fernández</t>
        </is>
      </c>
      <c r="D5" s="51" t="inlineStr">
        <is>
          <t>097345678</t>
        </is>
      </c>
      <c r="E5" s="51" t="inlineStr">
        <is>
          <t>diego@email.com</t>
        </is>
      </c>
      <c r="F5" s="51" t="inlineStr">
        <is>
          <t>@diegoF</t>
        </is>
      </c>
      <c r="G5" s="51" t="inlineStr">
        <is>
          <t>Paysandú</t>
        </is>
      </c>
      <c r="H5" s="51" t="inlineStr">
        <is>
          <t>Paysandú</t>
        </is>
      </c>
      <c r="I5" s="51" t="inlineStr">
        <is>
          <t>UY</t>
        </is>
      </c>
      <c r="J5" s="50" t="inlineStr">
        <is>
          <t>2024-06-10</t>
        </is>
      </c>
      <c r="K5" s="50" t="inlineStr">
        <is>
          <t>2024-12-15</t>
        </is>
      </c>
      <c r="L5" s="49" t="n">
        <v>2</v>
      </c>
      <c r="M5" s="53" t="n">
        <v>2200</v>
      </c>
      <c r="N5" s="53" t="n">
        <v>820</v>
      </c>
      <c r="O5" s="53" t="n">
        <v>1100</v>
      </c>
      <c r="P5" s="51" t="inlineStr">
        <is>
          <t>Facebook</t>
        </is>
      </c>
      <c r="Q5" s="31" t="inlineStr">
        <is>
          <t>Ocasional</t>
        </is>
      </c>
      <c r="R5" s="26" t="n">
        <v>2</v>
      </c>
      <c r="S5" s="26" t="n">
        <v>2</v>
      </c>
      <c r="T5" s="26" t="n">
        <v>2</v>
      </c>
    </row>
    <row r="6" ht="16" customHeight="1">
      <c r="A6" s="55" t="n">
        <v>4</v>
      </c>
      <c r="B6" s="186" t="inlineStr">
        <is>
          <t>Ana</t>
        </is>
      </c>
      <c r="C6" s="186" t="inlineStr">
        <is>
          <t>Martínez</t>
        </is>
      </c>
      <c r="D6" s="186" t="inlineStr">
        <is>
          <t>096456789</t>
        </is>
      </c>
      <c r="E6" s="186" t="inlineStr">
        <is>
          <t>ana@email.com</t>
        </is>
      </c>
      <c r="F6" s="186" t="inlineStr">
        <is>
          <t>@ana_mtz</t>
        </is>
      </c>
      <c r="G6" s="186" t="inlineStr">
        <is>
          <t>Montevideo</t>
        </is>
      </c>
      <c r="H6" s="186" t="inlineStr">
        <is>
          <t>Montevideo</t>
        </is>
      </c>
      <c r="I6" s="186" t="inlineStr">
        <is>
          <t>UY</t>
        </is>
      </c>
      <c r="J6" s="56" t="inlineStr">
        <is>
          <t>2024-08-05</t>
        </is>
      </c>
      <c r="K6" s="56" t="inlineStr">
        <is>
          <t>2024-09-10</t>
        </is>
      </c>
      <c r="L6" s="55" t="n">
        <v>1</v>
      </c>
      <c r="M6" s="187" t="n">
        <v>950</v>
      </c>
      <c r="N6" s="187" t="n">
        <v>350</v>
      </c>
      <c r="O6" s="187" t="n">
        <v>950</v>
      </c>
      <c r="P6" s="186" t="inlineStr">
        <is>
          <t>WooCommerce</t>
        </is>
      </c>
      <c r="Q6" s="107" t="inlineStr">
        <is>
          <t>Dormido</t>
        </is>
      </c>
      <c r="R6" s="30" t="n">
        <v>1</v>
      </c>
      <c r="S6" s="30" t="n">
        <v>1</v>
      </c>
      <c r="T6" s="30" t="n">
        <v>2</v>
      </c>
    </row>
    <row r="7" ht="16" customHeight="1">
      <c r="A7" s="49" t="n">
        <v>5</v>
      </c>
      <c r="B7" s="51" t="inlineStr">
        <is>
          <t>Carlos</t>
        </is>
      </c>
      <c r="C7" s="51" t="inlineStr">
        <is>
          <t>López</t>
        </is>
      </c>
      <c r="D7" s="51" t="inlineStr">
        <is>
          <t>095567890</t>
        </is>
      </c>
      <c r="E7" s="51" t="inlineStr">
        <is>
          <t>carlos@email.com</t>
        </is>
      </c>
      <c r="F7" s="51" t="inlineStr">
        <is>
          <t>@carlos_loop</t>
        </is>
      </c>
      <c r="G7" s="51" t="inlineStr">
        <is>
          <t>Rivera</t>
        </is>
      </c>
      <c r="H7" s="51" t="inlineStr">
        <is>
          <t>Rivera</t>
        </is>
      </c>
      <c r="I7" s="51" t="inlineStr">
        <is>
          <t>UY</t>
        </is>
      </c>
      <c r="J7" s="50" t="inlineStr">
        <is>
          <t>2024-02-14</t>
        </is>
      </c>
      <c r="K7" s="50" t="inlineStr">
        <is>
          <t>2025-05-20</t>
        </is>
      </c>
      <c r="L7" s="49" t="n">
        <v>6</v>
      </c>
      <c r="M7" s="53" t="n">
        <v>9200</v>
      </c>
      <c r="N7" s="53" t="n">
        <v>3600</v>
      </c>
      <c r="O7" s="53" t="n">
        <v>1533</v>
      </c>
      <c r="P7" s="51" t="inlineStr">
        <is>
          <t>Instagram</t>
        </is>
      </c>
      <c r="Q7" s="52" t="inlineStr">
        <is>
          <t>VIP</t>
        </is>
      </c>
      <c r="R7" s="26" t="n">
        <v>4</v>
      </c>
      <c r="S7" s="26" t="n">
        <v>4</v>
      </c>
      <c r="T7" s="26" t="n">
        <v>5</v>
      </c>
    </row>
    <row r="8" ht="16" customHeight="1">
      <c r="A8" s="55" t="n">
        <v>6</v>
      </c>
      <c r="B8" s="186" t="inlineStr">
        <is>
          <t>Sofía</t>
        </is>
      </c>
      <c r="C8" s="186" t="inlineStr">
        <is>
          <t>Pérez</t>
        </is>
      </c>
      <c r="D8" s="186" t="inlineStr">
        <is>
          <t>094678901</t>
        </is>
      </c>
      <c r="E8" s="186" t="inlineStr">
        <is>
          <t>sofia@email.com</t>
        </is>
      </c>
      <c r="F8" s="186" t="inlineStr">
        <is>
          <t>@sofia_p</t>
        </is>
      </c>
      <c r="G8" s="186" t="inlineStr">
        <is>
          <t>Maldonado</t>
        </is>
      </c>
      <c r="H8" s="186" t="inlineStr">
        <is>
          <t>Maldonado</t>
        </is>
      </c>
      <c r="I8" s="186" t="inlineStr">
        <is>
          <t>UY</t>
        </is>
      </c>
      <c r="J8" s="56" t="inlineStr">
        <is>
          <t>2024-11-01</t>
        </is>
      </c>
      <c r="K8" s="56" t="inlineStr">
        <is>
          <t>2025-05-15</t>
        </is>
      </c>
      <c r="L8" s="55" t="n">
        <v>4</v>
      </c>
      <c r="M8" s="187" t="n">
        <v>5600</v>
      </c>
      <c r="N8" s="187" t="n">
        <v>2100</v>
      </c>
      <c r="O8" s="187" t="n">
        <v>1400</v>
      </c>
      <c r="P8" s="186" t="inlineStr">
        <is>
          <t>WhatsApp</t>
        </is>
      </c>
      <c r="Q8" s="103" t="inlineStr">
        <is>
          <t>Frecuente</t>
        </is>
      </c>
      <c r="R8" s="30" t="n">
        <v>4</v>
      </c>
      <c r="S8" s="30" t="n">
        <v>3</v>
      </c>
      <c r="T8" s="30" t="n">
        <v>4</v>
      </c>
    </row>
    <row r="9" ht="16" customHeight="1">
      <c r="A9" s="49" t="n">
        <v>7</v>
      </c>
      <c r="B9" s="51" t="inlineStr">
        <is>
          <t>Pablo</t>
        </is>
      </c>
      <c r="C9" s="51" t="inlineStr">
        <is>
          <t>González</t>
        </is>
      </c>
      <c r="D9" s="51" t="inlineStr">
        <is>
          <t>093789012</t>
        </is>
      </c>
      <c r="E9" s="51" t="inlineStr">
        <is>
          <t>pablo@email.com</t>
        </is>
      </c>
      <c r="F9" s="51" t="inlineStr">
        <is>
          <t>@pablo_g</t>
        </is>
      </c>
      <c r="G9" s="51" t="inlineStr">
        <is>
          <t>Canelones</t>
        </is>
      </c>
      <c r="H9" s="51" t="inlineStr">
        <is>
          <t>Canelones</t>
        </is>
      </c>
      <c r="I9" s="51" t="inlineStr">
        <is>
          <t>UY</t>
        </is>
      </c>
      <c r="J9" s="50" t="inlineStr">
        <is>
          <t>2025-01-10</t>
        </is>
      </c>
      <c r="K9" s="50" t="inlineStr">
        <is>
          <t>2025-05-28</t>
        </is>
      </c>
      <c r="L9" s="49" t="n">
        <v>2</v>
      </c>
      <c r="M9" s="53" t="n">
        <v>1800</v>
      </c>
      <c r="N9" s="53" t="n">
        <v>680</v>
      </c>
      <c r="O9" s="53" t="n">
        <v>900</v>
      </c>
      <c r="P9" s="51" t="inlineStr">
        <is>
          <t>WooCommerce</t>
        </is>
      </c>
      <c r="Q9" s="31" t="inlineStr">
        <is>
          <t>Ocasional</t>
        </is>
      </c>
      <c r="R9" s="26" t="n">
        <v>4</v>
      </c>
      <c r="S9" s="26" t="n">
        <v>2</v>
      </c>
      <c r="T9" s="26" t="n">
        <v>2</v>
      </c>
    </row>
    <row r="10" ht="16" customHeight="1">
      <c r="A10" s="55" t="n">
        <v>8</v>
      </c>
      <c r="B10" s="186" t="inlineStr">
        <is>
          <t>María</t>
        </is>
      </c>
      <c r="C10" s="186" t="inlineStr">
        <is>
          <t>Suárez</t>
        </is>
      </c>
      <c r="D10" s="186" t="inlineStr">
        <is>
          <t>092890123</t>
        </is>
      </c>
      <c r="E10" s="186" t="inlineStr">
        <is>
          <t>maria@email.com</t>
        </is>
      </c>
      <c r="F10" s="186" t="inlineStr">
        <is>
          <t>@maria_s</t>
        </is>
      </c>
      <c r="G10" s="186" t="inlineStr">
        <is>
          <t>Tacuarembó</t>
        </is>
      </c>
      <c r="H10" s="186" t="inlineStr">
        <is>
          <t>Tacuarembó</t>
        </is>
      </c>
      <c r="I10" s="186" t="inlineStr">
        <is>
          <t>UY</t>
        </is>
      </c>
      <c r="J10" s="56" t="inlineStr">
        <is>
          <t>2024-04-22</t>
        </is>
      </c>
      <c r="K10" s="56" t="inlineStr">
        <is>
          <t>2024-07-30</t>
        </is>
      </c>
      <c r="L10" s="55" t="n">
        <v>2</v>
      </c>
      <c r="M10" s="187" t="n">
        <v>1600</v>
      </c>
      <c r="N10" s="187" t="n">
        <v>600</v>
      </c>
      <c r="O10" s="187" t="n">
        <v>800</v>
      </c>
      <c r="P10" s="186" t="inlineStr">
        <is>
          <t>Facebook</t>
        </is>
      </c>
      <c r="Q10" s="107" t="inlineStr">
        <is>
          <t>Dormido</t>
        </is>
      </c>
      <c r="R10" s="30" t="n">
        <v>2</v>
      </c>
      <c r="S10" s="30" t="n">
        <v>2</v>
      </c>
      <c r="T10" s="30" t="n">
        <v>2</v>
      </c>
    </row>
  </sheetData>
  <mergeCells count="1">
    <mergeCell ref="A1:T1"/>
  </mergeCells>
  <dataValidations count="2">
    <dataValidation sqref="Q3:Q100000" showDropDown="0" showInputMessage="0" showErrorMessage="0" allowBlank="1" type="list">
      <formula1>"VIP,Frecuente,Ocasional,Dormido"</formula1>
    </dataValidation>
    <dataValidation sqref="P3:P100000" showDropDown="0" showInputMessage="0" showErrorMessage="0" allowBlank="1" type="list">
      <formula1>"Instagram,WhatsApp,Facebook,WooCommerce,Mercado Libre,Evento,Referido,Otro"</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F57F17"/>
    <outlinePr summaryBelow="1" summaryRight="1"/>
    <pageSetUpPr/>
  </sheetPr>
  <dimension ref="A1:L10"/>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6" customWidth="1" min="3" max="3"/>
    <col width="14" customWidth="1" min="4" max="4"/>
    <col width="15" customWidth="1" min="5" max="5"/>
    <col width="13" customWidth="1" min="6" max="6"/>
    <col width="22" customWidth="1" min="7" max="7"/>
    <col width="14" customWidth="1" min="8" max="8"/>
    <col width="14" customWidth="1" min="9" max="9"/>
    <col width="16" customWidth="1" min="10" max="10"/>
    <col width="22" customWidth="1" min="11" max="11"/>
    <col width="28" customWidth="1" min="12" max="12"/>
  </cols>
  <sheetData>
    <row r="1" ht="28" customHeight="1">
      <c r="A1" s="33" t="inlineStr">
        <is>
          <t>🎯  LEADS — GESTIÓN DE CONSULTAS</t>
        </is>
      </c>
    </row>
    <row r="2" ht="22" customHeight="1">
      <c r="A2" s="34" t="inlineStr">
        <is>
          <t>ID Lead</t>
        </is>
      </c>
      <c r="B2" s="34" t="inlineStr">
        <is>
          <t>Fecha</t>
        </is>
      </c>
      <c r="C2" s="34" t="inlineStr">
        <is>
          <t>Nombre</t>
        </is>
      </c>
      <c r="D2" s="34" t="inlineStr">
        <is>
          <t>Teléfono</t>
        </is>
      </c>
      <c r="E2" s="34" t="inlineStr">
        <is>
          <t>Instagram</t>
        </is>
      </c>
      <c r="F2" s="34" t="inlineStr">
        <is>
          <t>Canal</t>
        </is>
      </c>
      <c r="G2" s="34" t="inlineStr">
        <is>
          <t>Producto Interés</t>
        </is>
      </c>
      <c r="H2" s="34" t="inlineStr">
        <is>
          <t>Ciudad</t>
        </is>
      </c>
      <c r="I2" s="34" t="inlineStr">
        <is>
          <t>Departamento</t>
        </is>
      </c>
      <c r="J2" s="34" t="inlineStr">
        <is>
          <t>Estado</t>
        </is>
      </c>
      <c r="K2" s="34" t="inlineStr">
        <is>
          <t>Motivo Pérdida</t>
        </is>
      </c>
      <c r="L2" s="34" t="inlineStr">
        <is>
          <t>Notas</t>
        </is>
      </c>
    </row>
    <row r="3" ht="16" customHeight="1">
      <c r="A3" s="49" t="n">
        <v>1</v>
      </c>
      <c r="B3" s="50" t="inlineStr">
        <is>
          <t>2025-05-01</t>
        </is>
      </c>
      <c r="C3" s="51" t="inlineStr">
        <is>
          <t>Juan Pérez</t>
        </is>
      </c>
      <c r="D3" s="49" t="inlineStr">
        <is>
          <t>091111111</t>
        </is>
      </c>
      <c r="E3" s="49" t="inlineStr">
        <is>
          <t>@juan_f1</t>
        </is>
      </c>
      <c r="F3" s="49" t="inlineStr">
        <is>
          <t>Instagram</t>
        </is>
      </c>
      <c r="G3" s="51" t="inlineStr">
        <is>
          <t>Alerón F1</t>
        </is>
      </c>
      <c r="H3" s="49" t="inlineStr">
        <is>
          <t>Montevideo</t>
        </is>
      </c>
      <c r="I3" s="49" t="inlineStr">
        <is>
          <t>Montevideo</t>
        </is>
      </c>
      <c r="J3" s="52" t="inlineStr">
        <is>
          <t>Ganado</t>
        </is>
      </c>
      <c r="K3" s="51" t="inlineStr"/>
      <c r="L3" s="51" t="inlineStr"/>
    </row>
    <row r="4" ht="16" customHeight="1">
      <c r="A4" s="55" t="n">
        <v>2</v>
      </c>
      <c r="B4" s="56" t="inlineStr">
        <is>
          <t>2025-05-03</t>
        </is>
      </c>
      <c r="C4" s="186" t="inlineStr">
        <is>
          <t>María López</t>
        </is>
      </c>
      <c r="D4" s="55" t="inlineStr">
        <is>
          <t>092222222</t>
        </is>
      </c>
      <c r="E4" s="55" t="inlineStr">
        <is>
          <t>@maria_l</t>
        </is>
      </c>
      <c r="F4" s="55" t="inlineStr">
        <is>
          <t>WhatsApp</t>
        </is>
      </c>
      <c r="G4" s="186" t="inlineStr">
        <is>
          <t>Hoodie F1</t>
        </is>
      </c>
      <c r="H4" s="55" t="inlineStr">
        <is>
          <t>Salto</t>
        </is>
      </c>
      <c r="I4" s="55" t="inlineStr">
        <is>
          <t>Salto</t>
        </is>
      </c>
      <c r="J4" s="31" t="inlineStr">
        <is>
          <t>Presupuestado</t>
        </is>
      </c>
      <c r="K4" s="186" t="inlineStr"/>
      <c r="L4" s="186" t="inlineStr">
        <is>
          <t>Espera talla L</t>
        </is>
      </c>
    </row>
    <row r="5" ht="16" customHeight="1">
      <c r="A5" s="49" t="n">
        <v>3</v>
      </c>
      <c r="B5" s="50" t="inlineStr">
        <is>
          <t>2025-05-05</t>
        </is>
      </c>
      <c r="C5" s="51" t="inlineStr">
        <is>
          <t>Pedro García</t>
        </is>
      </c>
      <c r="D5" s="49" t="inlineStr">
        <is>
          <t>093333333</t>
        </is>
      </c>
      <c r="E5" s="49" t="inlineStr"/>
      <c r="F5" s="49" t="inlineStr">
        <is>
          <t>Facebook</t>
        </is>
      </c>
      <c r="G5" s="51" t="inlineStr">
        <is>
          <t>Llavero F1</t>
        </is>
      </c>
      <c r="H5" s="49" t="inlineStr">
        <is>
          <t>Paysandú</t>
        </is>
      </c>
      <c r="I5" s="49" t="inlineStr">
        <is>
          <t>Paysandú</t>
        </is>
      </c>
      <c r="J5" s="107" t="inlineStr">
        <is>
          <t>Perdido</t>
        </is>
      </c>
      <c r="K5" s="51" t="inlineStr">
        <is>
          <t>Precio</t>
        </is>
      </c>
      <c r="L5" s="51" t="inlineStr">
        <is>
          <t>Muy caro</t>
        </is>
      </c>
    </row>
    <row r="6" ht="16" customHeight="1">
      <c r="A6" s="55" t="n">
        <v>4</v>
      </c>
      <c r="B6" s="56" t="inlineStr">
        <is>
          <t>2025-05-08</t>
        </is>
      </c>
      <c r="C6" s="186" t="inlineStr">
        <is>
          <t>Ana Rodríguez</t>
        </is>
      </c>
      <c r="D6" s="55" t="inlineStr">
        <is>
          <t>094444444</t>
        </is>
      </c>
      <c r="E6" s="55" t="inlineStr">
        <is>
          <t>@ana_r</t>
        </is>
      </c>
      <c r="F6" s="55" t="inlineStr">
        <is>
          <t>WhatsApp</t>
        </is>
      </c>
      <c r="G6" s="186" t="inlineStr">
        <is>
          <t>Mate F1</t>
        </is>
      </c>
      <c r="H6" s="55" t="inlineStr">
        <is>
          <t>Canelones</t>
        </is>
      </c>
      <c r="I6" s="55" t="inlineStr">
        <is>
          <t>Canelones</t>
        </is>
      </c>
      <c r="J6" s="35" t="inlineStr">
        <is>
          <t>En negociación</t>
        </is>
      </c>
      <c r="K6" s="186" t="inlineStr"/>
      <c r="L6" s="186" t="inlineStr">
        <is>
          <t>Quiere pack x2</t>
        </is>
      </c>
    </row>
    <row r="7" ht="16" customHeight="1">
      <c r="A7" s="49" t="n">
        <v>5</v>
      </c>
      <c r="B7" s="50" t="inlineStr">
        <is>
          <t>2025-05-10</t>
        </is>
      </c>
      <c r="C7" s="51" t="inlineStr">
        <is>
          <t>Luis Fernández</t>
        </is>
      </c>
      <c r="D7" s="49" t="inlineStr">
        <is>
          <t>095555555</t>
        </is>
      </c>
      <c r="E7" s="49" t="inlineStr">
        <is>
          <t>@luis_f</t>
        </is>
      </c>
      <c r="F7" s="49" t="inlineStr">
        <is>
          <t>Instagram</t>
        </is>
      </c>
      <c r="G7" s="51" t="inlineStr">
        <is>
          <t>Lámpara LED</t>
        </is>
      </c>
      <c r="H7" s="49" t="inlineStr">
        <is>
          <t>Montevideo</t>
        </is>
      </c>
      <c r="I7" s="49" t="inlineStr">
        <is>
          <t>Montevideo</t>
        </is>
      </c>
      <c r="J7" s="60" t="inlineStr">
        <is>
          <t>Contactado</t>
        </is>
      </c>
      <c r="K7" s="51" t="inlineStr"/>
      <c r="L7" s="51" t="inlineStr"/>
    </row>
    <row r="8" ht="16" customHeight="1">
      <c r="A8" s="55" t="n">
        <v>6</v>
      </c>
      <c r="B8" s="56" t="inlineStr">
        <is>
          <t>2025-05-12</t>
        </is>
      </c>
      <c r="C8" s="186" t="inlineStr">
        <is>
          <t>Carla Suárez</t>
        </is>
      </c>
      <c r="D8" s="55" t="inlineStr">
        <is>
          <t>096666666</t>
        </is>
      </c>
      <c r="E8" s="55" t="inlineStr"/>
      <c r="F8" s="55" t="inlineStr">
        <is>
          <t>WooCommerce</t>
        </is>
      </c>
      <c r="G8" s="186" t="inlineStr">
        <is>
          <t>Remera F1</t>
        </is>
      </c>
      <c r="H8" s="55" t="inlineStr">
        <is>
          <t>Rivera</t>
        </is>
      </c>
      <c r="I8" s="55" t="inlineStr">
        <is>
          <t>Rivera</t>
        </is>
      </c>
      <c r="J8" s="37" t="inlineStr">
        <is>
          <t>Nuevo</t>
        </is>
      </c>
      <c r="K8" s="186" t="inlineStr"/>
      <c r="L8" s="186" t="inlineStr"/>
    </row>
    <row r="9" ht="16" customHeight="1">
      <c r="A9" s="49" t="n">
        <v>7</v>
      </c>
      <c r="B9" s="50" t="inlineStr">
        <is>
          <t>2025-05-15</t>
        </is>
      </c>
      <c r="C9" s="51" t="inlineStr">
        <is>
          <t>Ricardo Martínez</t>
        </is>
      </c>
      <c r="D9" s="49" t="inlineStr">
        <is>
          <t>097777777</t>
        </is>
      </c>
      <c r="E9" s="49" t="inlineStr">
        <is>
          <t>@ric_mtz</t>
        </is>
      </c>
      <c r="F9" s="49" t="inlineStr">
        <is>
          <t>WhatsApp</t>
        </is>
      </c>
      <c r="G9" s="51" t="inlineStr">
        <is>
          <t>Circuito Monaco</t>
        </is>
      </c>
      <c r="H9" s="49" t="inlineStr">
        <is>
          <t>Maldonado</t>
        </is>
      </c>
      <c r="I9" s="49" t="inlineStr">
        <is>
          <t>Maldonado</t>
        </is>
      </c>
      <c r="J9" s="52" t="inlineStr">
        <is>
          <t>Ganado</t>
        </is>
      </c>
      <c r="K9" s="51" t="inlineStr"/>
      <c r="L9" s="51" t="inlineStr"/>
    </row>
    <row r="10" ht="16" customHeight="1">
      <c r="A10" s="55" t="n">
        <v>8</v>
      </c>
      <c r="B10" s="56" t="inlineStr">
        <is>
          <t>2025-05-18</t>
        </is>
      </c>
      <c r="C10" s="186" t="inlineStr">
        <is>
          <t>Valeria Pérez</t>
        </is>
      </c>
      <c r="D10" s="55" t="inlineStr">
        <is>
          <t>098888888</t>
        </is>
      </c>
      <c r="E10" s="55" t="inlineStr">
        <is>
          <t>@vale_p</t>
        </is>
      </c>
      <c r="F10" s="55" t="inlineStr">
        <is>
          <t>Instagram</t>
        </is>
      </c>
      <c r="G10" s="186" t="inlineStr">
        <is>
          <t>Vaso Térmico</t>
        </is>
      </c>
      <c r="H10" s="55" t="inlineStr">
        <is>
          <t>Montevideo</t>
        </is>
      </c>
      <c r="I10" s="55" t="inlineStr">
        <is>
          <t>Montevideo</t>
        </is>
      </c>
      <c r="J10" s="107" t="inlineStr">
        <is>
          <t>Perdido</t>
        </is>
      </c>
      <c r="K10" s="186" t="inlineStr">
        <is>
          <t>Tiempo</t>
        </is>
      </c>
      <c r="L10" s="186" t="inlineStr">
        <is>
          <t>Necesitaba urgente</t>
        </is>
      </c>
    </row>
  </sheetData>
  <mergeCells count="1">
    <mergeCell ref="A1:L1"/>
  </mergeCells>
  <dataValidations count="3">
    <dataValidation sqref="J3:J100000" showDropDown="0" showInputMessage="0" showErrorMessage="0" allowBlank="1" type="list">
      <formula1>"Nuevo,Contactado,Presupuestado,En negociación,Ganado,Perdido"</formula1>
    </dataValidation>
    <dataValidation sqref="F3:F100000" showDropDown="0" showInputMessage="0" showErrorMessage="0" allowBlank="1" type="list">
      <formula1>"Instagram,WhatsApp,Facebook,WooCommerce,Mercado Libre,Evento,Referido,Otro"</formula1>
    </dataValidation>
    <dataValidation sqref="K3:K100000" showDropDown="0" showInputMessage="0" showErrorMessage="0" allowBlank="1" type="list">
      <formula1>"Precio,Tiempo,Sin respuesta,No le gustó,Competencia,Otro"</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6A1B9A"/>
    <outlinePr summaryBelow="1" summaryRight="1"/>
    <pageSetUpPr/>
  </sheetPr>
  <dimension ref="A1:K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2" customWidth="1" min="2" max="2"/>
    <col width="9" customWidth="1" min="3" max="3"/>
    <col width="20" customWidth="1" min="4" max="4"/>
    <col width="25" customWidth="1" min="5" max="5"/>
    <col width="10" customWidth="1" min="6" max="6"/>
    <col width="12" customWidth="1" min="7" max="7"/>
    <col width="12" customWidth="1" min="8" max="8"/>
    <col width="14" customWidth="1" min="9" max="9"/>
    <col width="13" customWidth="1" min="10" max="10"/>
    <col width="28" customWidth="1" min="11" max="11"/>
  </cols>
  <sheetData>
    <row r="1" ht="28" customHeight="1">
      <c r="A1" s="38" t="inlineStr">
        <is>
          <t>💰  COTIZACIONES — PRESUPUESTOS ENVIADOS</t>
        </is>
      </c>
    </row>
    <row r="2" ht="22" customHeight="1">
      <c r="A2" s="39" t="inlineStr">
        <is>
          <t>ID Cotización</t>
        </is>
      </c>
      <c r="B2" s="39" t="inlineStr">
        <is>
          <t>Fecha</t>
        </is>
      </c>
      <c r="C2" s="39" t="inlineStr">
        <is>
          <t>ID Lead</t>
        </is>
      </c>
      <c r="D2" s="39" t="inlineStr">
        <is>
          <t>Nombre Cliente</t>
        </is>
      </c>
      <c r="E2" s="39" t="inlineStr">
        <is>
          <t>Producto</t>
        </is>
      </c>
      <c r="F2" s="39" t="inlineStr">
        <is>
          <t>Cantidad</t>
        </is>
      </c>
      <c r="G2" s="39" t="inlineStr">
        <is>
          <t>Precio Unit.</t>
        </is>
      </c>
      <c r="H2" s="39" t="inlineStr">
        <is>
          <t>Monto Total</t>
        </is>
      </c>
      <c r="I2" s="39" t="inlineStr">
        <is>
          <t>Estado</t>
        </is>
      </c>
      <c r="J2" s="39" t="inlineStr">
        <is>
          <t>Fecha Cierre</t>
        </is>
      </c>
      <c r="K2" s="39" t="inlineStr">
        <is>
          <t>Notas</t>
        </is>
      </c>
    </row>
    <row r="3" ht="16" customHeight="1">
      <c r="A3" s="49" t="n">
        <v>1</v>
      </c>
      <c r="B3" s="50" t="inlineStr">
        <is>
          <t>2025-05-01</t>
        </is>
      </c>
      <c r="C3" s="49" t="n">
        <v>1</v>
      </c>
      <c r="D3" s="51" t="inlineStr">
        <is>
          <t>Juan Pérez</t>
        </is>
      </c>
      <c r="E3" s="51" t="inlineStr">
        <is>
          <t>Alerón F1 Escala 1:18</t>
        </is>
      </c>
      <c r="F3" s="49" t="n">
        <v>1</v>
      </c>
      <c r="G3" s="53" t="n">
        <v>450</v>
      </c>
      <c r="H3" s="53" t="n">
        <v>450</v>
      </c>
      <c r="I3" s="52" t="inlineStr">
        <is>
          <t>Aceptada</t>
        </is>
      </c>
      <c r="J3" s="50" t="inlineStr">
        <is>
          <t>2025-05-03</t>
        </is>
      </c>
      <c r="K3" s="51" t="inlineStr">
        <is>
          <t>Pagó completo</t>
        </is>
      </c>
    </row>
    <row r="4" ht="16" customHeight="1">
      <c r="A4" s="55" t="n">
        <v>2</v>
      </c>
      <c r="B4" s="56" t="inlineStr">
        <is>
          <t>2025-05-03</t>
        </is>
      </c>
      <c r="C4" s="55" t="n">
        <v>2</v>
      </c>
      <c r="D4" s="186" t="inlineStr">
        <is>
          <t>María López</t>
        </is>
      </c>
      <c r="E4" s="186" t="inlineStr">
        <is>
          <t>Hoodie F1 talla L</t>
        </is>
      </c>
      <c r="F4" s="55" t="n">
        <v>1</v>
      </c>
      <c r="G4" s="187" t="n">
        <v>2200</v>
      </c>
      <c r="H4" s="187" t="n">
        <v>2200</v>
      </c>
      <c r="I4" s="60" t="inlineStr">
        <is>
          <t>Pendiente</t>
        </is>
      </c>
      <c r="J4" s="56" t="inlineStr"/>
      <c r="K4" s="186" t="inlineStr">
        <is>
          <t>Espera confirmación</t>
        </is>
      </c>
    </row>
    <row r="5" ht="16" customHeight="1">
      <c r="A5" s="49" t="n">
        <v>3</v>
      </c>
      <c r="B5" s="50" t="inlineStr">
        <is>
          <t>2025-05-05</t>
        </is>
      </c>
      <c r="C5" s="49" t="n">
        <v>3</v>
      </c>
      <c r="D5" s="51" t="inlineStr">
        <is>
          <t>Pedro García</t>
        </is>
      </c>
      <c r="E5" s="51" t="inlineStr">
        <is>
          <t>Llavero F1 x5</t>
        </is>
      </c>
      <c r="F5" s="49" t="n">
        <v>5</v>
      </c>
      <c r="G5" s="53" t="n">
        <v>90</v>
      </c>
      <c r="H5" s="53" t="n">
        <v>450</v>
      </c>
      <c r="I5" s="107" t="inlineStr">
        <is>
          <t>Rechazada</t>
        </is>
      </c>
      <c r="J5" s="50" t="inlineStr">
        <is>
          <t>2025-05-06</t>
        </is>
      </c>
      <c r="K5" s="51" t="inlineStr">
        <is>
          <t>Precio muy alto</t>
        </is>
      </c>
    </row>
    <row r="6" ht="16" customHeight="1">
      <c r="A6" s="55" t="n">
        <v>4</v>
      </c>
      <c r="B6" s="56" t="inlineStr">
        <is>
          <t>2025-05-08</t>
        </is>
      </c>
      <c r="C6" s="55" t="n">
        <v>4</v>
      </c>
      <c r="D6" s="186" t="inlineStr">
        <is>
          <t>Ana Rodríguez</t>
        </is>
      </c>
      <c r="E6" s="186" t="inlineStr">
        <is>
          <t>Mate F1 + Vaso Térmico</t>
        </is>
      </c>
      <c r="F6" s="55" t="n">
        <v>2</v>
      </c>
      <c r="G6" s="187" t="n">
        <v>1400</v>
      </c>
      <c r="H6" s="187" t="n">
        <v>2800</v>
      </c>
      <c r="I6" s="60" t="inlineStr">
        <is>
          <t>Pendiente</t>
        </is>
      </c>
      <c r="J6" s="56" t="inlineStr"/>
      <c r="K6" s="186" t="inlineStr">
        <is>
          <t>Pack especial</t>
        </is>
      </c>
    </row>
    <row r="7" ht="16" customHeight="1">
      <c r="A7" s="49" t="n">
        <v>5</v>
      </c>
      <c r="B7" s="50" t="inlineStr">
        <is>
          <t>2025-05-10</t>
        </is>
      </c>
      <c r="C7" s="49" t="n">
        <v>5</v>
      </c>
      <c r="D7" s="51" t="inlineStr">
        <is>
          <t>Luis Fernández</t>
        </is>
      </c>
      <c r="E7" s="51" t="inlineStr">
        <is>
          <t>Lámpara LED F1</t>
        </is>
      </c>
      <c r="F7" s="49" t="n">
        <v>1</v>
      </c>
      <c r="G7" s="53" t="n">
        <v>1800</v>
      </c>
      <c r="H7" s="53" t="n">
        <v>1800</v>
      </c>
      <c r="I7" s="52" t="inlineStr">
        <is>
          <t>Aceptada</t>
        </is>
      </c>
      <c r="J7" s="50" t="inlineStr">
        <is>
          <t>2025-05-12</t>
        </is>
      </c>
      <c r="K7" s="51" t="inlineStr">
        <is>
          <t>Envío a domicilio</t>
        </is>
      </c>
    </row>
    <row r="8" ht="16" customHeight="1">
      <c r="A8" s="55" t="n">
        <v>6</v>
      </c>
      <c r="B8" s="56" t="inlineStr">
        <is>
          <t>2025-05-15</t>
        </is>
      </c>
      <c r="C8" s="55" t="n">
        <v>7</v>
      </c>
      <c r="D8" s="186" t="inlineStr">
        <is>
          <t>Ricardo Martínez</t>
        </is>
      </c>
      <c r="E8" s="186" t="inlineStr">
        <is>
          <t>Circuito Monaco Mini</t>
        </is>
      </c>
      <c r="F8" s="55" t="n">
        <v>1</v>
      </c>
      <c r="G8" s="187" t="n">
        <v>380</v>
      </c>
      <c r="H8" s="187" t="n">
        <v>380</v>
      </c>
      <c r="I8" s="52" t="inlineStr">
        <is>
          <t>Aceptada</t>
        </is>
      </c>
      <c r="J8" s="56" t="inlineStr">
        <is>
          <t>2025-05-15</t>
        </is>
      </c>
      <c r="K8" s="186" t="inlineStr">
        <is>
          <t>Retira en persona</t>
        </is>
      </c>
    </row>
    <row r="9" ht="16" customHeight="1">
      <c r="A9" s="49" t="n">
        <v>7</v>
      </c>
      <c r="B9" s="50" t="inlineStr">
        <is>
          <t>2025-05-20</t>
        </is>
      </c>
      <c r="C9" s="49" t="n">
        <v>2</v>
      </c>
      <c r="D9" s="51" t="inlineStr">
        <is>
          <t>María López</t>
        </is>
      </c>
      <c r="E9" s="51" t="inlineStr">
        <is>
          <t>Hoodie F1 talla M</t>
        </is>
      </c>
      <c r="F9" s="49" t="n">
        <v>1</v>
      </c>
      <c r="G9" s="53" t="n">
        <v>2200</v>
      </c>
      <c r="H9" s="53" t="n">
        <v>2200</v>
      </c>
      <c r="I9" s="60" t="inlineStr">
        <is>
          <t>Pendiente</t>
        </is>
      </c>
      <c r="J9" s="50" t="inlineStr"/>
      <c r="K9" s="51" t="inlineStr">
        <is>
          <t>Cambió la talla</t>
        </is>
      </c>
    </row>
  </sheetData>
  <mergeCells count="1">
    <mergeCell ref="A1:K1"/>
  </mergeCells>
  <dataValidations count="1">
    <dataValidation sqref="I3:I100000" showDropDown="0" showInputMessage="0" showErrorMessage="0" allowBlank="1" type="list">
      <formula1>"Pendiente,Aceptada,Rechazada"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D47A1"/>
    <outlinePr summaryBelow="1" summaryRight="1"/>
    <pageSetUpPr/>
  </sheetPr>
  <dimension ref="A1:P12"/>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0" customWidth="1" min="3" max="3"/>
    <col width="20" customWidth="1" min="4" max="4"/>
    <col width="13" customWidth="1" min="5" max="5"/>
    <col width="14" customWidth="1" min="6" max="6"/>
    <col width="13" customWidth="1" min="7" max="7"/>
    <col width="14" customWidth="1" min="8" max="8"/>
    <col width="13" customWidth="1" min="9" max="9"/>
    <col width="12" customWidth="1" min="10" max="10"/>
    <col width="12" customWidth="1" min="11" max="11"/>
    <col width="13" customWidth="1" min="12" max="12"/>
    <col width="12" customWidth="1" min="13" max="13"/>
    <col width="12" customWidth="1" min="14" max="14"/>
    <col width="10" customWidth="1" min="15" max="15"/>
    <col width="25" customWidth="1" min="16" max="16"/>
  </cols>
  <sheetData>
    <row r="1" ht="28" customHeight="1">
      <c r="A1" s="47" t="inlineStr">
        <is>
          <t>🛒  VENTAS — REGISTRO MAESTRO</t>
        </is>
      </c>
    </row>
    <row r="2" ht="22" customHeight="1">
      <c r="A2" s="48" t="inlineStr">
        <is>
          <t>ID Venta</t>
        </is>
      </c>
      <c r="B2" s="48" t="inlineStr">
        <is>
          <t>Fecha</t>
        </is>
      </c>
      <c r="C2" s="48" t="inlineStr">
        <is>
          <t>ID Cliente</t>
        </is>
      </c>
      <c r="D2" s="48" t="inlineStr">
        <is>
          <t>Nombre Cliente</t>
        </is>
      </c>
      <c r="E2" s="48" t="inlineStr">
        <is>
          <t>Canal</t>
        </is>
      </c>
      <c r="F2" s="48" t="inlineStr">
        <is>
          <t>Método Pago</t>
        </is>
      </c>
      <c r="G2" s="48" t="inlineStr">
        <is>
          <t>Estado Pago</t>
        </is>
      </c>
      <c r="H2" s="48" t="inlineStr">
        <is>
          <t>Estado Pedido</t>
        </is>
      </c>
      <c r="I2" s="48" t="inlineStr">
        <is>
          <t>Estado Envío</t>
        </is>
      </c>
      <c r="J2" s="48" t="inlineStr">
        <is>
          <t>Subtotal</t>
        </is>
      </c>
      <c r="K2" s="48" t="inlineStr">
        <is>
          <t>Descuento</t>
        </is>
      </c>
      <c r="L2" s="48" t="inlineStr">
        <is>
          <t>Facturación</t>
        </is>
      </c>
      <c r="M2" s="48" t="inlineStr">
        <is>
          <t>Costo Total</t>
        </is>
      </c>
      <c r="N2" s="48" t="inlineStr">
        <is>
          <t>Ganancia</t>
        </is>
      </c>
      <c r="O2" s="48" t="inlineStr">
        <is>
          <t>Margen %</t>
        </is>
      </c>
      <c r="P2" s="48" t="inlineStr">
        <is>
          <t>Notas</t>
        </is>
      </c>
    </row>
    <row r="3" ht="16" customHeight="1">
      <c r="A3" s="49" t="n">
        <v>1</v>
      </c>
      <c r="B3" s="50" t="inlineStr">
        <is>
          <t>2025-05-01</t>
        </is>
      </c>
      <c r="C3" s="49" t="n">
        <v>1</v>
      </c>
      <c r="D3" s="51" t="inlineStr">
        <is>
          <t>Martín García</t>
        </is>
      </c>
      <c r="E3" s="49" t="inlineStr">
        <is>
          <t>Instagram</t>
        </is>
      </c>
      <c r="F3" s="49" t="inlineStr">
        <is>
          <t>Mercado Pago</t>
        </is>
      </c>
      <c r="G3" s="52" t="inlineStr">
        <is>
          <t>Pagado</t>
        </is>
      </c>
      <c r="H3" s="49" t="inlineStr">
        <is>
          <t>Entregado</t>
        </is>
      </c>
      <c r="I3" s="49" t="inlineStr">
        <is>
          <t>Entregado</t>
        </is>
      </c>
      <c r="J3" s="53" t="n">
        <v>450</v>
      </c>
      <c r="K3" s="53" t="n">
        <v>0</v>
      </c>
      <c r="L3" s="53" t="n">
        <v>450</v>
      </c>
      <c r="M3" s="53" t="n">
        <v>230</v>
      </c>
      <c r="N3" s="53" t="n">
        <v>220</v>
      </c>
      <c r="O3" s="54">
        <f>IF(L3&gt;0,(L3-M3)/L3*100,0)</f>
        <v/>
      </c>
      <c r="P3" s="51" t="inlineStr"/>
    </row>
    <row r="4" ht="16" customHeight="1">
      <c r="A4" s="55" t="n">
        <v>2</v>
      </c>
      <c r="B4" s="56" t="inlineStr">
        <is>
          <t>2025-05-03</t>
        </is>
      </c>
      <c r="C4" s="55" t="n">
        <v>5</v>
      </c>
      <c r="D4" s="186" t="inlineStr">
        <is>
          <t>Carlos López</t>
        </is>
      </c>
      <c r="E4" s="55" t="inlineStr">
        <is>
          <t>WhatsApp</t>
        </is>
      </c>
      <c r="F4" s="55" t="inlineStr">
        <is>
          <t>Transferencia</t>
        </is>
      </c>
      <c r="G4" s="52" t="inlineStr">
        <is>
          <t>Pagado</t>
        </is>
      </c>
      <c r="H4" s="55" t="inlineStr">
        <is>
          <t>En proceso</t>
        </is>
      </c>
      <c r="I4" s="55" t="inlineStr">
        <is>
          <t>Pendiente</t>
        </is>
      </c>
      <c r="J4" s="187" t="n">
        <v>380</v>
      </c>
      <c r="K4" s="187" t="n">
        <v>0</v>
      </c>
      <c r="L4" s="187" t="n">
        <v>380</v>
      </c>
      <c r="M4" s="187" t="n">
        <v>195</v>
      </c>
      <c r="N4" s="187" t="n">
        <v>185</v>
      </c>
      <c r="O4" s="59">
        <f>IF(L4&gt;0,(L4-M4)/L4*100,0)</f>
        <v/>
      </c>
      <c r="P4" s="186" t="inlineStr"/>
    </row>
    <row r="5" ht="16" customHeight="1">
      <c r="A5" s="49" t="n">
        <v>3</v>
      </c>
      <c r="B5" s="50" t="inlineStr">
        <is>
          <t>2025-05-05</t>
        </is>
      </c>
      <c r="C5" s="49" t="n">
        <v>1</v>
      </c>
      <c r="D5" s="51" t="inlineStr">
        <is>
          <t>Martín García</t>
        </is>
      </c>
      <c r="E5" s="49" t="inlineStr">
        <is>
          <t>WooCommerce</t>
        </is>
      </c>
      <c r="F5" s="49" t="inlineStr">
        <is>
          <t>Mercado Pago</t>
        </is>
      </c>
      <c r="G5" s="52" t="inlineStr">
        <is>
          <t>Pagado</t>
        </is>
      </c>
      <c r="H5" s="49" t="inlineStr">
        <is>
          <t>Entregado</t>
        </is>
      </c>
      <c r="I5" s="49" t="inlineStr">
        <is>
          <t>Entregado</t>
        </is>
      </c>
      <c r="J5" s="53" t="n">
        <v>2200</v>
      </c>
      <c r="K5" s="53" t="n">
        <v>100</v>
      </c>
      <c r="L5" s="53" t="n">
        <v>2100</v>
      </c>
      <c r="M5" s="53" t="n">
        <v>1310</v>
      </c>
      <c r="N5" s="53" t="n">
        <v>790</v>
      </c>
      <c r="O5" s="54">
        <f>IF(L5&gt;0,(L5-M5)/L5*100,0)</f>
        <v/>
      </c>
      <c r="P5" s="51" t="inlineStr">
        <is>
          <t>Descuento fidelidad</t>
        </is>
      </c>
    </row>
    <row r="6" ht="16" customHeight="1">
      <c r="A6" s="55" t="n">
        <v>4</v>
      </c>
      <c r="B6" s="56" t="inlineStr">
        <is>
          <t>2025-05-08</t>
        </is>
      </c>
      <c r="C6" s="55" t="n">
        <v>6</v>
      </c>
      <c r="D6" s="186" t="inlineStr">
        <is>
          <t>Sofía Pérez</t>
        </is>
      </c>
      <c r="E6" s="55" t="inlineStr">
        <is>
          <t>WhatsApp</t>
        </is>
      </c>
      <c r="F6" s="55" t="inlineStr">
        <is>
          <t>Efectivo</t>
        </is>
      </c>
      <c r="G6" s="52" t="inlineStr">
        <is>
          <t>Pagado</t>
        </is>
      </c>
      <c r="H6" s="55" t="inlineStr">
        <is>
          <t>Entregado</t>
        </is>
      </c>
      <c r="I6" s="55" t="inlineStr">
        <is>
          <t>Retiró</t>
        </is>
      </c>
      <c r="J6" s="187" t="n">
        <v>1800</v>
      </c>
      <c r="K6" s="187" t="n">
        <v>0</v>
      </c>
      <c r="L6" s="187" t="n">
        <v>1800</v>
      </c>
      <c r="M6" s="187" t="n">
        <v>845</v>
      </c>
      <c r="N6" s="187" t="n">
        <v>955</v>
      </c>
      <c r="O6" s="59">
        <f>IF(L6&gt;0,(L6-M6)/L6*100,0)</f>
        <v/>
      </c>
      <c r="P6" s="186" t="inlineStr">
        <is>
          <t>Lámpara LED F1</t>
        </is>
      </c>
    </row>
    <row r="7" ht="16" customHeight="1">
      <c r="A7" s="49" t="n">
        <v>5</v>
      </c>
      <c r="B7" s="50" t="inlineStr">
        <is>
          <t>2025-05-10</t>
        </is>
      </c>
      <c r="C7" s="49" t="n">
        <v>2</v>
      </c>
      <c r="D7" s="51" t="inlineStr">
        <is>
          <t>Laura Rodríguez</t>
        </is>
      </c>
      <c r="E7" s="49" t="inlineStr">
        <is>
          <t>Instagram</t>
        </is>
      </c>
      <c r="F7" s="49" t="inlineStr">
        <is>
          <t>Mercado Pago</t>
        </is>
      </c>
      <c r="G7" s="52" t="inlineStr">
        <is>
          <t>Pagado</t>
        </is>
      </c>
      <c r="H7" s="49" t="inlineStr">
        <is>
          <t>Enviado</t>
        </is>
      </c>
      <c r="I7" s="49" t="inlineStr">
        <is>
          <t>En tránsito</t>
        </is>
      </c>
      <c r="J7" s="53" t="n">
        <v>1100</v>
      </c>
      <c r="K7" s="53" t="n">
        <v>0</v>
      </c>
      <c r="L7" s="53" t="n">
        <v>1100</v>
      </c>
      <c r="M7" s="53" t="n">
        <v>635</v>
      </c>
      <c r="N7" s="53" t="n">
        <v>465</v>
      </c>
      <c r="O7" s="54">
        <f>IF(L7&gt;0,(L7-M7)/L7*100,0)</f>
        <v/>
      </c>
      <c r="P7" s="51" t="inlineStr">
        <is>
          <t>Remera F1</t>
        </is>
      </c>
    </row>
    <row r="8" ht="16" customHeight="1">
      <c r="A8" s="55" t="n">
        <v>6</v>
      </c>
      <c r="B8" s="56" t="inlineStr">
        <is>
          <t>2025-05-12</t>
        </is>
      </c>
      <c r="C8" s="55" t="n">
        <v>7</v>
      </c>
      <c r="D8" s="186" t="inlineStr">
        <is>
          <t>Pablo González</t>
        </is>
      </c>
      <c r="E8" s="55" t="inlineStr">
        <is>
          <t>WooCommerce</t>
        </is>
      </c>
      <c r="F8" s="55" t="inlineStr">
        <is>
          <t>Mercado Pago</t>
        </is>
      </c>
      <c r="G8" s="52" t="inlineStr">
        <is>
          <t>Pagado</t>
        </is>
      </c>
      <c r="H8" s="55" t="inlineStr">
        <is>
          <t>Entregado</t>
        </is>
      </c>
      <c r="I8" s="55" t="inlineStr">
        <is>
          <t>Entregado</t>
        </is>
      </c>
      <c r="J8" s="187" t="n">
        <v>90</v>
      </c>
      <c r="K8" s="187" t="n">
        <v>0</v>
      </c>
      <c r="L8" s="187" t="n">
        <v>90</v>
      </c>
      <c r="M8" s="187" t="n">
        <v>31</v>
      </c>
      <c r="N8" s="187" t="n">
        <v>59</v>
      </c>
      <c r="O8" s="59">
        <f>IF(L8&gt;0,(L8-M8)/L8*100,0)</f>
        <v/>
      </c>
      <c r="P8" s="186" t="inlineStr">
        <is>
          <t>Llavero F1</t>
        </is>
      </c>
    </row>
    <row r="9" ht="16" customHeight="1">
      <c r="A9" s="49" t="n">
        <v>7</v>
      </c>
      <c r="B9" s="50" t="inlineStr">
        <is>
          <t>2025-05-15</t>
        </is>
      </c>
      <c r="C9" s="49" t="n">
        <v>5</v>
      </c>
      <c r="D9" s="51" t="inlineStr">
        <is>
          <t>Carlos López</t>
        </is>
      </c>
      <c r="E9" s="49" t="inlineStr">
        <is>
          <t>Instagram</t>
        </is>
      </c>
      <c r="F9" s="49" t="inlineStr">
        <is>
          <t>Transferencia</t>
        </is>
      </c>
      <c r="G9" s="52" t="inlineStr">
        <is>
          <t>Pagado</t>
        </is>
      </c>
      <c r="H9" s="49" t="inlineStr">
        <is>
          <t>En proceso</t>
        </is>
      </c>
      <c r="I9" s="49" t="inlineStr">
        <is>
          <t>Pendiente</t>
        </is>
      </c>
      <c r="J9" s="53" t="n">
        <v>550</v>
      </c>
      <c r="K9" s="53" t="n">
        <v>50</v>
      </c>
      <c r="L9" s="53" t="n">
        <v>500</v>
      </c>
      <c r="M9" s="53" t="n">
        <v>285</v>
      </c>
      <c r="N9" s="53" t="n">
        <v>215</v>
      </c>
      <c r="O9" s="54">
        <f>IF(L9&gt;0,(L9-M9)/L9*100,0)</f>
        <v/>
      </c>
      <c r="P9" s="51" t="inlineStr">
        <is>
          <t>Mini Garaje F1</t>
        </is>
      </c>
    </row>
    <row r="10" ht="16" customHeight="1">
      <c r="A10" s="55" t="n">
        <v>8</v>
      </c>
      <c r="B10" s="56" t="inlineStr">
        <is>
          <t>2025-05-18</t>
        </is>
      </c>
      <c r="C10" s="55" t="n">
        <v>3</v>
      </c>
      <c r="D10" s="186" t="inlineStr">
        <is>
          <t>Diego Fernández</t>
        </is>
      </c>
      <c r="E10" s="55" t="inlineStr">
        <is>
          <t>Facebook</t>
        </is>
      </c>
      <c r="F10" s="55" t="inlineStr">
        <is>
          <t>Mercado Pago</t>
        </is>
      </c>
      <c r="G10" s="60" t="inlineStr">
        <is>
          <t>Pendiente</t>
        </is>
      </c>
      <c r="H10" s="55" t="inlineStr">
        <is>
          <t>Pendiente</t>
        </is>
      </c>
      <c r="I10" s="55" t="inlineStr">
        <is>
          <t>Pendiente</t>
        </is>
      </c>
      <c r="J10" s="187" t="n">
        <v>1400</v>
      </c>
      <c r="K10" s="187" t="n">
        <v>0</v>
      </c>
      <c r="L10" s="187" t="n">
        <v>1400</v>
      </c>
      <c r="M10" s="187" t="n">
        <v>760</v>
      </c>
      <c r="N10" s="187" t="n">
        <v>640</v>
      </c>
      <c r="O10" s="59">
        <f>IF(L10&gt;0,(L10-M10)/L10*100,0)</f>
        <v/>
      </c>
      <c r="P10" s="186" t="inlineStr">
        <is>
          <t>Mate F1</t>
        </is>
      </c>
    </row>
    <row r="11" ht="16" customHeight="1">
      <c r="A11" s="49" t="n">
        <v>9</v>
      </c>
      <c r="B11" s="50" t="inlineStr">
        <is>
          <t>2025-05-20</t>
        </is>
      </c>
      <c r="C11" s="49" t="n">
        <v>1</v>
      </c>
      <c r="D11" s="51" t="inlineStr">
        <is>
          <t>Martín García</t>
        </is>
      </c>
      <c r="E11" s="49" t="inlineStr">
        <is>
          <t>WooCommerce</t>
        </is>
      </c>
      <c r="F11" s="49" t="inlineStr">
        <is>
          <t>Mercado Pago</t>
        </is>
      </c>
      <c r="G11" s="52" t="inlineStr">
        <is>
          <t>Pagado</t>
        </is>
      </c>
      <c r="H11" s="49" t="inlineStr">
        <is>
          <t>Entregado</t>
        </is>
      </c>
      <c r="I11" s="49" t="inlineStr">
        <is>
          <t>Entregado</t>
        </is>
      </c>
      <c r="J11" s="53" t="n">
        <v>1200</v>
      </c>
      <c r="K11" s="53" t="n">
        <v>0</v>
      </c>
      <c r="L11" s="53" t="n">
        <v>1200</v>
      </c>
      <c r="M11" s="53" t="n">
        <v>640</v>
      </c>
      <c r="N11" s="53" t="n">
        <v>560</v>
      </c>
      <c r="O11" s="54">
        <f>IF(L11&gt;0,(L11-M11)/L11*100,0)</f>
        <v/>
      </c>
      <c r="P11" s="51" t="inlineStr">
        <is>
          <t>Gorra F1</t>
        </is>
      </c>
    </row>
    <row r="12" ht="16" customHeight="1">
      <c r="A12" s="55" t="n">
        <v>10</v>
      </c>
      <c r="B12" s="56" t="inlineStr">
        <is>
          <t>2025-05-22</t>
        </is>
      </c>
      <c r="C12" s="55" t="n">
        <v>6</v>
      </c>
      <c r="D12" s="186" t="inlineStr">
        <is>
          <t>Sofía Pérez</t>
        </is>
      </c>
      <c r="E12" s="55" t="inlineStr">
        <is>
          <t>WhatsApp</t>
        </is>
      </c>
      <c r="F12" s="55" t="inlineStr">
        <is>
          <t>Transferencia</t>
        </is>
      </c>
      <c r="G12" s="52" t="inlineStr">
        <is>
          <t>Pagado</t>
        </is>
      </c>
      <c r="H12" s="55" t="inlineStr">
        <is>
          <t>Enviado</t>
        </is>
      </c>
      <c r="I12" s="55" t="inlineStr">
        <is>
          <t>En tránsito</t>
        </is>
      </c>
      <c r="J12" s="187" t="n">
        <v>3200</v>
      </c>
      <c r="K12" s="187" t="n">
        <v>0</v>
      </c>
      <c r="L12" s="187" t="n">
        <v>3200</v>
      </c>
      <c r="M12" s="187" t="n">
        <v>1410</v>
      </c>
      <c r="N12" s="187" t="n">
        <v>1790</v>
      </c>
      <c r="O12" s="59">
        <f>IF(L12&gt;0,(L12-M12)/L12*100,0)</f>
        <v/>
      </c>
      <c r="P12" s="186" t="inlineStr">
        <is>
          <t>Neón LED F1</t>
        </is>
      </c>
    </row>
  </sheetData>
  <mergeCells count="1">
    <mergeCell ref="A1:P1"/>
  </mergeCells>
  <dataValidations count="5">
    <dataValidation sqref="E3:E100000" showDropDown="0" showInputMessage="0" showErrorMessage="0" allowBlank="1" type="list">
      <formula1>"Instagram,WhatsApp,Facebook,WooCommerce,Mercado Libre,Evento,Tienda Física,Distribuidor,Otro"</formula1>
    </dataValidation>
    <dataValidation sqref="F3:F100000" showDropDown="0" showInputMessage="0" showErrorMessage="0" allowBlank="1" type="list">
      <formula1>"Mercado Pago,Transferencia,Efectivo,Tarjeta,Otro"</formula1>
    </dataValidation>
    <dataValidation sqref="G3:G100000" showDropDown="0" showInputMessage="0" showErrorMessage="0" allowBlank="1" type="list">
      <formula1>"Pagado,Pendiente,Parcial,Cancelado,Reembolsado"</formula1>
    </dataValidation>
    <dataValidation sqref="H3:H100000" showDropDown="0" showInputMessage="0" showErrorMessage="0" allowBlank="1" type="list">
      <formula1>"Pendiente,En proceso,Listo,Enviado,Entregado,Cancelado"</formula1>
    </dataValidation>
    <dataValidation sqref="I3:I100000" showDropDown="0" showInputMessage="0" showErrorMessage="0" allowBlank="1" type="list">
      <formula1>"Pendiente,En tránsito,Entregado,Retiró,Sin envío,Devuelto"</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1565C0"/>
    <outlinePr summaryBelow="1" summaryRight="1"/>
    <pageSetUpPr/>
  </sheetPr>
  <dimension ref="A1:I13"/>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14" customWidth="1" min="3" max="3"/>
    <col width="28" customWidth="1" min="4" max="4"/>
    <col width="10" customWidth="1" min="5" max="5"/>
    <col width="12" customWidth="1" min="6" max="6"/>
    <col width="12" customWidth="1" min="7" max="7"/>
    <col width="12" customWidth="1" min="8" max="8"/>
    <col width="12" customWidth="1" min="9" max="9"/>
  </cols>
  <sheetData>
    <row r="1" ht="28" customHeight="1">
      <c r="A1" s="246" t="inlineStr">
        <is>
          <t>📋  DETALLE DE VENTAS — LÍNEAS DE PEDIDO</t>
        </is>
      </c>
    </row>
    <row r="2" ht="22" customHeight="1">
      <c r="A2" s="190" t="inlineStr">
        <is>
          <t>ID Detalle</t>
        </is>
      </c>
      <c r="B2" s="190" t="inlineStr">
        <is>
          <t>ID Venta</t>
        </is>
      </c>
      <c r="C2" s="190" t="inlineStr">
        <is>
          <t>SKU</t>
        </is>
      </c>
      <c r="D2" s="190" t="inlineStr">
        <is>
          <t>Producto</t>
        </is>
      </c>
      <c r="E2" s="190" t="inlineStr">
        <is>
          <t>Cantidad</t>
        </is>
      </c>
      <c r="F2" s="190" t="inlineStr">
        <is>
          <t>Precio Unit.</t>
        </is>
      </c>
      <c r="G2" s="190" t="inlineStr">
        <is>
          <t>Subtotal</t>
        </is>
      </c>
      <c r="H2" s="190" t="inlineStr">
        <is>
          <t>Costo Unit.</t>
        </is>
      </c>
      <c r="I2" s="190" t="inlineStr">
        <is>
          <t>Ganancia</t>
        </is>
      </c>
    </row>
    <row r="3" ht="16" customHeight="1">
      <c r="A3" s="49" t="n">
        <v>1</v>
      </c>
      <c r="B3" s="49" t="n">
        <v>1</v>
      </c>
      <c r="C3" s="51" t="inlineStr">
        <is>
          <t>IMP3D-001</t>
        </is>
      </c>
      <c r="D3" s="51" t="inlineStr">
        <is>
          <t>Alerón F1 Escala 1:18</t>
        </is>
      </c>
      <c r="E3" s="49" t="n">
        <v>1</v>
      </c>
      <c r="F3" s="53" t="n">
        <v>450</v>
      </c>
      <c r="G3" s="53">
        <f>E3*F3</f>
        <v/>
      </c>
      <c r="H3" s="53" t="n">
        <v>230</v>
      </c>
      <c r="I3" s="53">
        <f>G3-(E3*H3)</f>
        <v/>
      </c>
    </row>
    <row r="4" ht="16" customHeight="1">
      <c r="A4" s="55" t="n">
        <v>2</v>
      </c>
      <c r="B4" s="55" t="n">
        <v>2</v>
      </c>
      <c r="C4" s="186" t="inlineStr">
        <is>
          <t>IMP3D-002</t>
        </is>
      </c>
      <c r="D4" s="186" t="inlineStr">
        <is>
          <t>Circuito Monaco Mini</t>
        </is>
      </c>
      <c r="E4" s="55" t="n">
        <v>1</v>
      </c>
      <c r="F4" s="187" t="n">
        <v>380</v>
      </c>
      <c r="G4" s="187">
        <f>E4*F4</f>
        <v/>
      </c>
      <c r="H4" s="187" t="n">
        <v>195</v>
      </c>
      <c r="I4" s="187">
        <f>G4-(E4*H4)</f>
        <v/>
      </c>
    </row>
    <row r="5" ht="16" customHeight="1">
      <c r="A5" s="49" t="n">
        <v>3</v>
      </c>
      <c r="B5" s="49" t="n">
        <v>3</v>
      </c>
      <c r="C5" s="51" t="inlineStr">
        <is>
          <t>INDUM-001</t>
        </is>
      </c>
      <c r="D5" s="51" t="inlineStr">
        <is>
          <t>Hoodie F1</t>
        </is>
      </c>
      <c r="E5" s="49" t="n">
        <v>1</v>
      </c>
      <c r="F5" s="53" t="n">
        <v>2200</v>
      </c>
      <c r="G5" s="53">
        <f>E5*F5</f>
        <v/>
      </c>
      <c r="H5" s="53" t="n">
        <v>1310</v>
      </c>
      <c r="I5" s="53">
        <f>G5-(E5*H5)</f>
        <v/>
      </c>
    </row>
    <row r="6" ht="16" customHeight="1">
      <c r="A6" s="55" t="n">
        <v>4</v>
      </c>
      <c r="B6" s="55" t="n">
        <v>4</v>
      </c>
      <c r="C6" s="186" t="inlineStr">
        <is>
          <t>ILUM-001</t>
        </is>
      </c>
      <c r="D6" s="186" t="inlineStr">
        <is>
          <t>Lámpara LED F1</t>
        </is>
      </c>
      <c r="E6" s="55" t="n">
        <v>1</v>
      </c>
      <c r="F6" s="187" t="n">
        <v>1800</v>
      </c>
      <c r="G6" s="187">
        <f>E6*F6</f>
        <v/>
      </c>
      <c r="H6" s="187" t="n">
        <v>845</v>
      </c>
      <c r="I6" s="187">
        <f>G6-(E6*H6)</f>
        <v/>
      </c>
    </row>
    <row r="7" ht="16" customHeight="1">
      <c r="A7" s="49" t="n">
        <v>5</v>
      </c>
      <c r="B7" s="49" t="n">
        <v>5</v>
      </c>
      <c r="C7" s="51" t="inlineStr">
        <is>
          <t>INDUM-002</t>
        </is>
      </c>
      <c r="D7" s="51" t="inlineStr">
        <is>
          <t>Remera F1</t>
        </is>
      </c>
      <c r="E7" s="49" t="n">
        <v>1</v>
      </c>
      <c r="F7" s="53" t="n">
        <v>1100</v>
      </c>
      <c r="G7" s="53">
        <f>E7*F7</f>
        <v/>
      </c>
      <c r="H7" s="53" t="n">
        <v>635</v>
      </c>
      <c r="I7" s="53">
        <f>G7-(E7*H7)</f>
        <v/>
      </c>
    </row>
    <row r="8" ht="16" customHeight="1">
      <c r="A8" s="55" t="n">
        <v>6</v>
      </c>
      <c r="B8" s="55" t="n">
        <v>6</v>
      </c>
      <c r="C8" s="186" t="inlineStr">
        <is>
          <t>IMP3D-004</t>
        </is>
      </c>
      <c r="D8" s="186" t="inlineStr">
        <is>
          <t>Llavero F1</t>
        </is>
      </c>
      <c r="E8" s="55" t="n">
        <v>1</v>
      </c>
      <c r="F8" s="187" t="n">
        <v>90</v>
      </c>
      <c r="G8" s="187">
        <f>E8*F8</f>
        <v/>
      </c>
      <c r="H8" s="187" t="n">
        <v>31</v>
      </c>
      <c r="I8" s="187">
        <f>G8-(E8*H8)</f>
        <v/>
      </c>
    </row>
    <row r="9" ht="16" customHeight="1">
      <c r="A9" s="49" t="n">
        <v>7</v>
      </c>
      <c r="B9" s="49" t="n">
        <v>7</v>
      </c>
      <c r="C9" s="51" t="inlineStr">
        <is>
          <t>IMP3D-003</t>
        </is>
      </c>
      <c r="D9" s="51" t="inlineStr">
        <is>
          <t>Mini Garaje F1</t>
        </is>
      </c>
      <c r="E9" s="49" t="n">
        <v>1</v>
      </c>
      <c r="F9" s="53" t="n">
        <v>550</v>
      </c>
      <c r="G9" s="53">
        <f>E9*F9</f>
        <v/>
      </c>
      <c r="H9" s="53" t="n">
        <v>285</v>
      </c>
      <c r="I9" s="53">
        <f>G9-(E9*H9)</f>
        <v/>
      </c>
    </row>
    <row r="10" ht="16" customHeight="1">
      <c r="A10" s="55" t="n">
        <v>8</v>
      </c>
      <c r="B10" s="55" t="n">
        <v>8</v>
      </c>
      <c r="C10" s="186" t="inlineStr">
        <is>
          <t>TERM-001</t>
        </is>
      </c>
      <c r="D10" s="186" t="inlineStr">
        <is>
          <t>Mate F1 Personalizado</t>
        </is>
      </c>
      <c r="E10" s="55" t="n">
        <v>1</v>
      </c>
      <c r="F10" s="187" t="n">
        <v>1400</v>
      </c>
      <c r="G10" s="187">
        <f>E10*F10</f>
        <v/>
      </c>
      <c r="H10" s="187" t="n">
        <v>760</v>
      </c>
      <c r="I10" s="187">
        <f>G10-(E10*H10)</f>
        <v/>
      </c>
    </row>
    <row r="11" ht="16" customHeight="1">
      <c r="A11" s="49" t="n">
        <v>9</v>
      </c>
      <c r="B11" s="49" t="n">
        <v>9</v>
      </c>
      <c r="C11" s="51" t="inlineStr">
        <is>
          <t>INDUM-003</t>
        </is>
      </c>
      <c r="D11" s="51" t="inlineStr">
        <is>
          <t>Gorra F1</t>
        </is>
      </c>
      <c r="E11" s="49" t="n">
        <v>1</v>
      </c>
      <c r="F11" s="53" t="n">
        <v>1200</v>
      </c>
      <c r="G11" s="53">
        <f>E11*F11</f>
        <v/>
      </c>
      <c r="H11" s="53" t="n">
        <v>640</v>
      </c>
      <c r="I11" s="53">
        <f>G11-(E11*H11)</f>
        <v/>
      </c>
    </row>
    <row r="12" ht="16" customHeight="1">
      <c r="A12" s="55" t="n">
        <v>10</v>
      </c>
      <c r="B12" s="55" t="n">
        <v>10</v>
      </c>
      <c r="C12" s="186" t="inlineStr">
        <is>
          <t>ILUM-002</t>
        </is>
      </c>
      <c r="D12" s="186" t="inlineStr">
        <is>
          <t>Neón LED F1</t>
        </is>
      </c>
      <c r="E12" s="55" t="n">
        <v>1</v>
      </c>
      <c r="F12" s="187" t="n">
        <v>3200</v>
      </c>
      <c r="G12" s="187">
        <f>E12*F12</f>
        <v/>
      </c>
      <c r="H12" s="187" t="n">
        <v>1410</v>
      </c>
      <c r="I12" s="187">
        <f>G12-(E12*H12)</f>
        <v/>
      </c>
    </row>
    <row r="13" ht="16" customHeight="1">
      <c r="A13" s="49" t="n">
        <v>11</v>
      </c>
      <c r="B13" s="49" t="n">
        <v>3</v>
      </c>
      <c r="C13" s="51" t="inlineStr">
        <is>
          <t>IMP3D-001</t>
        </is>
      </c>
      <c r="D13" s="51" t="inlineStr">
        <is>
          <t>Alerón F1 Escala 1:18</t>
        </is>
      </c>
      <c r="E13" s="49" t="n">
        <v>0</v>
      </c>
      <c r="F13" s="53" t="n">
        <v>0</v>
      </c>
      <c r="G13" s="53">
        <f>E13*F13</f>
        <v/>
      </c>
      <c r="H13" s="53" t="n">
        <v>0</v>
      </c>
      <c r="I13" s="53">
        <f>G13-(E13*H13)</f>
        <v/>
      </c>
    </row>
  </sheetData>
  <mergeCells count="1">
    <mergeCell ref="A1:I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71C1C"/>
    <outlinePr summaryBelow="1" summaryRight="1"/>
    <pageSetUpPr/>
  </sheetPr>
  <dimension ref="A1:I1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18" customWidth="1" min="3" max="3"/>
    <col width="18" customWidth="1" min="4" max="4"/>
    <col width="20" customWidth="1" min="5" max="5"/>
    <col width="30" customWidth="1" min="6" max="6"/>
    <col width="12" customWidth="1" min="7" max="7"/>
    <col width="14" customWidth="1" min="8" max="8"/>
    <col width="15" customWidth="1" min="9" max="9"/>
  </cols>
  <sheetData>
    <row r="1" ht="28" customHeight="1">
      <c r="A1" s="63" t="inlineStr">
        <is>
          <t>💸  GASTOS — REGISTRO COMPLETO</t>
        </is>
      </c>
    </row>
    <row r="2" ht="22" customHeight="1">
      <c r="A2" s="64" t="inlineStr">
        <is>
          <t>ID</t>
        </is>
      </c>
      <c r="B2" s="64" t="inlineStr">
        <is>
          <t>Fecha</t>
        </is>
      </c>
      <c r="C2" s="64" t="inlineStr">
        <is>
          <t>Categoría</t>
        </is>
      </c>
      <c r="D2" s="64" t="inlineStr">
        <is>
          <t>Subcategoría</t>
        </is>
      </c>
      <c r="E2" s="64" t="inlineStr">
        <is>
          <t>Proveedor</t>
        </is>
      </c>
      <c r="F2" s="64" t="inlineStr">
        <is>
          <t>Descripción</t>
        </is>
      </c>
      <c r="G2" s="64" t="inlineStr">
        <is>
          <t>Monto</t>
        </is>
      </c>
      <c r="H2" s="64" t="inlineStr">
        <is>
          <t>Método Pago</t>
        </is>
      </c>
      <c r="I2" s="64" t="inlineStr">
        <is>
          <t>Comprobante</t>
        </is>
      </c>
    </row>
    <row r="3" ht="16" customHeight="1">
      <c r="A3" s="65" t="n">
        <v>1</v>
      </c>
      <c r="B3" s="66" t="inlineStr">
        <is>
          <t>2025-05-01</t>
        </is>
      </c>
      <c r="C3" s="65" t="inlineStr">
        <is>
          <t>Filamento</t>
        </is>
      </c>
      <c r="D3" s="65" t="inlineStr">
        <is>
          <t>PLA</t>
        </is>
      </c>
      <c r="E3" s="67" t="inlineStr">
        <is>
          <t>FilaPrint</t>
        </is>
      </c>
      <c r="F3" s="67" t="inlineStr">
        <is>
          <t>Filamento PLA 1kg x3 rollos</t>
        </is>
      </c>
      <c r="G3" s="68" t="n">
        <v>1800</v>
      </c>
      <c r="H3" s="65" t="inlineStr">
        <is>
          <t>Transferencia</t>
        </is>
      </c>
      <c r="I3" s="67" t="inlineStr">
        <is>
          <t>FAC-001</t>
        </is>
      </c>
    </row>
    <row r="4" ht="16" customHeight="1">
      <c r="A4" s="69" t="n">
        <v>2</v>
      </c>
      <c r="B4" s="70" t="inlineStr">
        <is>
          <t>2025-05-02</t>
        </is>
      </c>
      <c r="C4" s="69" t="inlineStr">
        <is>
          <t>Publicidad</t>
        </is>
      </c>
      <c r="D4" s="69" t="inlineStr">
        <is>
          <t>Meta Ads</t>
        </is>
      </c>
      <c r="E4" s="71" t="inlineStr">
        <is>
          <t>Meta</t>
        </is>
      </c>
      <c r="F4" s="71" t="inlineStr">
        <is>
          <t>Campaña Mayo Instagram</t>
        </is>
      </c>
      <c r="G4" s="72" t="n">
        <v>2500</v>
      </c>
      <c r="H4" s="69" t="inlineStr">
        <is>
          <t>Tarjeta</t>
        </is>
      </c>
      <c r="I4" s="71" t="inlineStr">
        <is>
          <t>AUTO</t>
        </is>
      </c>
    </row>
    <row r="5" ht="16" customHeight="1">
      <c r="A5" s="73" t="n">
        <v>3</v>
      </c>
      <c r="B5" s="74" t="inlineStr">
        <is>
          <t>2025-05-03</t>
        </is>
      </c>
      <c r="C5" s="73" t="inlineStr">
        <is>
          <t>Packaging</t>
        </is>
      </c>
      <c r="D5" s="73" t="inlineStr">
        <is>
          <t>Cajas</t>
        </is>
      </c>
      <c r="E5" s="75" t="inlineStr">
        <is>
          <t>PackUY</t>
        </is>
      </c>
      <c r="F5" s="75" t="inlineStr">
        <is>
          <t>Cajas + papel kraft 100u</t>
        </is>
      </c>
      <c r="G5" s="76" t="n">
        <v>650</v>
      </c>
      <c r="H5" s="73" t="inlineStr">
        <is>
          <t>Efectivo</t>
        </is>
      </c>
      <c r="I5" s="75" t="inlineStr">
        <is>
          <t>FAC-002</t>
        </is>
      </c>
    </row>
    <row r="6" ht="16" customHeight="1">
      <c r="A6" s="77" t="n">
        <v>4</v>
      </c>
      <c r="B6" s="78" t="inlineStr">
        <is>
          <t>2025-05-05</t>
        </is>
      </c>
      <c r="C6" s="77" t="inlineStr">
        <is>
          <t>Software</t>
        </is>
      </c>
      <c r="D6" s="77" t="inlineStr">
        <is>
          <t>SaaS</t>
        </is>
      </c>
      <c r="E6" s="79" t="inlineStr">
        <is>
          <t>Canva Pro</t>
        </is>
      </c>
      <c r="F6" s="79" t="inlineStr">
        <is>
          <t>Suscripción mensual</t>
        </is>
      </c>
      <c r="G6" s="80" t="n">
        <v>350</v>
      </c>
      <c r="H6" s="77" t="inlineStr">
        <is>
          <t>Tarjeta</t>
        </is>
      </c>
      <c r="I6" s="79" t="inlineStr">
        <is>
          <t>REC-001</t>
        </is>
      </c>
    </row>
    <row r="7" ht="16" customHeight="1">
      <c r="A7" s="81" t="n">
        <v>5</v>
      </c>
      <c r="B7" s="82" t="inlineStr">
        <is>
          <t>2025-05-07</t>
        </is>
      </c>
      <c r="C7" s="81" t="inlineStr">
        <is>
          <t>DTF</t>
        </is>
      </c>
      <c r="D7" s="81" t="inlineStr">
        <is>
          <t>Impresión</t>
        </is>
      </c>
      <c r="E7" s="83" t="inlineStr">
        <is>
          <t>DTF Uruguay</t>
        </is>
      </c>
      <c r="F7" s="83" t="inlineStr">
        <is>
          <t>Sublimación hoodies x10</t>
        </is>
      </c>
      <c r="G7" s="84" t="n">
        <v>800</v>
      </c>
      <c r="H7" s="81" t="inlineStr">
        <is>
          <t>Transferencia</t>
        </is>
      </c>
      <c r="I7" s="83" t="inlineStr">
        <is>
          <t>FAC-003</t>
        </is>
      </c>
    </row>
    <row r="8" ht="16" customHeight="1">
      <c r="A8" s="85" t="n">
        <v>6</v>
      </c>
      <c r="B8" s="86" t="inlineStr">
        <is>
          <t>2025-05-10</t>
        </is>
      </c>
      <c r="C8" s="85" t="inlineStr">
        <is>
          <t>Envíos</t>
        </is>
      </c>
      <c r="D8" s="85" t="inlineStr">
        <is>
          <t>DAC</t>
        </is>
      </c>
      <c r="E8" s="87" t="inlineStr">
        <is>
          <t>DAC</t>
        </is>
      </c>
      <c r="F8" s="87" t="inlineStr">
        <is>
          <t>Envíos mayo semana 1</t>
        </is>
      </c>
      <c r="G8" s="88" t="n">
        <v>480</v>
      </c>
      <c r="H8" s="85" t="inlineStr">
        <is>
          <t>Efectivo</t>
        </is>
      </c>
      <c r="I8" s="87" t="inlineStr">
        <is>
          <t>REC-002</t>
        </is>
      </c>
    </row>
    <row r="9" ht="16" customHeight="1">
      <c r="A9" s="89" t="n">
        <v>7</v>
      </c>
      <c r="B9" s="90" t="inlineStr">
        <is>
          <t>2025-05-12</t>
        </is>
      </c>
      <c r="C9" s="89" t="inlineStr">
        <is>
          <t>Equipamiento</t>
        </is>
      </c>
      <c r="D9" s="89" t="inlineStr">
        <is>
          <t>Consumibles</t>
        </is>
      </c>
      <c r="E9" s="91" t="inlineStr">
        <is>
          <t>3D Store</t>
        </is>
      </c>
      <c r="F9" s="91" t="inlineStr">
        <is>
          <t>Nozzle 0.4mm x5 + rodamientos</t>
        </is>
      </c>
      <c r="G9" s="92" t="n">
        <v>420</v>
      </c>
      <c r="H9" s="89" t="inlineStr">
        <is>
          <t>Transferencia</t>
        </is>
      </c>
      <c r="I9" s="91" t="inlineStr">
        <is>
          <t>FAC-004</t>
        </is>
      </c>
    </row>
    <row r="10" ht="16" customHeight="1">
      <c r="A10" s="93" t="n">
        <v>8</v>
      </c>
      <c r="B10" s="94" t="inlineStr">
        <is>
          <t>2025-05-15</t>
        </is>
      </c>
      <c r="C10" s="93" t="inlineStr">
        <is>
          <t>Servicios</t>
        </is>
      </c>
      <c r="D10" s="93" t="inlineStr">
        <is>
          <t>Electricidad</t>
        </is>
      </c>
      <c r="E10" s="95" t="inlineStr">
        <is>
          <t>UTE</t>
        </is>
      </c>
      <c r="F10" s="95" t="inlineStr">
        <is>
          <t>Factura eléctrica mayo</t>
        </is>
      </c>
      <c r="G10" s="96" t="n">
        <v>1200</v>
      </c>
      <c r="H10" s="93" t="inlineStr">
        <is>
          <t>Débito</t>
        </is>
      </c>
      <c r="I10" s="95" t="inlineStr">
        <is>
          <t>FAC-005</t>
        </is>
      </c>
    </row>
    <row r="11" ht="16" customHeight="1">
      <c r="A11" s="69" t="n">
        <v>9</v>
      </c>
      <c r="B11" s="70" t="inlineStr">
        <is>
          <t>2025-05-18</t>
        </is>
      </c>
      <c r="C11" s="69" t="inlineStr">
        <is>
          <t>Publicidad</t>
        </is>
      </c>
      <c r="D11" s="69" t="inlineStr">
        <is>
          <t>Meta Ads</t>
        </is>
      </c>
      <c r="E11" s="71" t="inlineStr">
        <is>
          <t>Meta</t>
        </is>
      </c>
      <c r="F11" s="71" t="inlineStr">
        <is>
          <t>Campaña Mayo Facebook</t>
        </is>
      </c>
      <c r="G11" s="72" t="n">
        <v>1500</v>
      </c>
      <c r="H11" s="69" t="inlineStr">
        <is>
          <t>Tarjeta</t>
        </is>
      </c>
      <c r="I11" s="71" t="inlineStr">
        <is>
          <t>AUTO</t>
        </is>
      </c>
    </row>
    <row r="12" ht="16" customHeight="1">
      <c r="A12" s="65" t="n">
        <v>10</v>
      </c>
      <c r="B12" s="66" t="inlineStr">
        <is>
          <t>2025-05-20</t>
        </is>
      </c>
      <c r="C12" s="65" t="inlineStr">
        <is>
          <t>Filamento</t>
        </is>
      </c>
      <c r="D12" s="65" t="inlineStr">
        <is>
          <t>PETG</t>
        </is>
      </c>
      <c r="E12" s="67" t="inlineStr">
        <is>
          <t>FilaPrint</t>
        </is>
      </c>
      <c r="F12" s="67" t="inlineStr">
        <is>
          <t>Filamento PETG negro 1kg</t>
        </is>
      </c>
      <c r="G12" s="68" t="n">
        <v>650</v>
      </c>
      <c r="H12" s="65" t="inlineStr">
        <is>
          <t>Transferencia</t>
        </is>
      </c>
      <c r="I12" s="67" t="inlineStr">
        <is>
          <t>FAC-006</t>
        </is>
      </c>
    </row>
    <row r="13" ht="16" customHeight="1">
      <c r="A13" s="77" t="n">
        <v>11</v>
      </c>
      <c r="B13" s="78" t="inlineStr">
        <is>
          <t>2025-05-22</t>
        </is>
      </c>
      <c r="C13" s="77" t="inlineStr">
        <is>
          <t>Software</t>
        </is>
      </c>
      <c r="D13" s="77" t="inlineStr">
        <is>
          <t>SaaS</t>
        </is>
      </c>
      <c r="E13" s="79" t="inlineStr">
        <is>
          <t>WooCommerce</t>
        </is>
      </c>
      <c r="F13" s="79" t="inlineStr">
        <is>
          <t>Plugin WooCommerce</t>
        </is>
      </c>
      <c r="G13" s="80" t="n">
        <v>280</v>
      </c>
      <c r="H13" s="77" t="inlineStr">
        <is>
          <t>Tarjeta</t>
        </is>
      </c>
      <c r="I13" s="79" t="inlineStr">
        <is>
          <t>REC-003</t>
        </is>
      </c>
    </row>
    <row r="14" ht="16" customHeight="1">
      <c r="A14" s="85" t="n">
        <v>12</v>
      </c>
      <c r="B14" s="86" t="inlineStr">
        <is>
          <t>2025-05-25</t>
        </is>
      </c>
      <c r="C14" s="85" t="inlineStr">
        <is>
          <t>Envíos</t>
        </is>
      </c>
      <c r="D14" s="85" t="inlineStr">
        <is>
          <t>DAC</t>
        </is>
      </c>
      <c r="E14" s="87" t="inlineStr">
        <is>
          <t>DAC</t>
        </is>
      </c>
      <c r="F14" s="87" t="inlineStr">
        <is>
          <t>Envíos mayo semana 2</t>
        </is>
      </c>
      <c r="G14" s="88" t="n">
        <v>360</v>
      </c>
      <c r="H14" s="85" t="inlineStr">
        <is>
          <t>Efectivo</t>
        </is>
      </c>
      <c r="I14" s="87" t="inlineStr">
        <is>
          <t>REC-004</t>
        </is>
      </c>
    </row>
  </sheetData>
  <mergeCells count="1">
    <mergeCell ref="A1:I1"/>
  </mergeCells>
  <dataValidations count="2">
    <dataValidation sqref="C3:C100000" showDropDown="0" showInputMessage="0" showErrorMessage="0" allowBlank="1" type="list">
      <formula1>"Publicidad,Software,Filamento,DTF,Packaging,Envíos,Equipamiento,Servicios,Impuestos,Combustible,Herramientas,Otros"</formula1>
    </dataValidation>
    <dataValidation sqref="H3:H100000" showDropDown="0" showInputMessage="0" showErrorMessage="0" allowBlank="1" type="list">
      <formula1>"Mercado Pago,Transferencia,Efectivo,Tarjeta,Débito,Otro"</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1565C0"/>
    <outlinePr summaryBelow="1" summaryRight="1"/>
    <pageSetUpPr/>
  </sheetPr>
  <dimension ref="A1:N8"/>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2" customWidth="1" min="2" max="2"/>
    <col width="25" customWidth="1" min="3" max="3"/>
    <col width="16" customWidth="1" min="4" max="4"/>
    <col width="12" customWidth="1" min="5" max="5"/>
    <col width="12" customWidth="1" min="6" max="6"/>
    <col width="12" customWidth="1" min="7" max="7"/>
    <col width="10" customWidth="1" min="8" max="8"/>
    <col width="8" customWidth="1" min="9" max="9"/>
    <col width="10" customWidth="1" min="10" max="10"/>
    <col width="9" customWidth="1" min="11" max="11"/>
    <col width="9" customWidth="1" min="12" max="12"/>
    <col width="13" customWidth="1" min="13" max="13"/>
    <col width="9" customWidth="1" min="14" max="14"/>
  </cols>
  <sheetData>
    <row r="1" ht="28" customHeight="1">
      <c r="A1" s="246" t="inlineStr">
        <is>
          <t>📣  PUBLICIDAD — META ADS &amp; GOOGLE ADS</t>
        </is>
      </c>
    </row>
    <row r="2" ht="22" customHeight="1">
      <c r="A2" s="190" t="inlineStr">
        <is>
          <t>ID</t>
        </is>
      </c>
      <c r="B2" s="190" t="inlineStr">
        <is>
          <t>Fecha</t>
        </is>
      </c>
      <c r="C2" s="190" t="inlineStr">
        <is>
          <t>Campaña</t>
        </is>
      </c>
      <c r="D2" s="190" t="inlineStr">
        <is>
          <t>Objetivo</t>
        </is>
      </c>
      <c r="E2" s="190" t="inlineStr">
        <is>
          <t>Canal</t>
        </is>
      </c>
      <c r="F2" s="190" t="inlineStr">
        <is>
          <t>Inversión</t>
        </is>
      </c>
      <c r="G2" s="190" t="inlineStr">
        <is>
          <t>Alcance</t>
        </is>
      </c>
      <c r="H2" s="190" t="inlineStr">
        <is>
          <t>Clicks</t>
        </is>
      </c>
      <c r="I2" s="190" t="inlineStr">
        <is>
          <t>CTR %</t>
        </is>
      </c>
      <c r="J2" s="190" t="inlineStr">
        <is>
          <t>Consultas</t>
        </is>
      </c>
      <c r="K2" s="190" t="inlineStr">
        <is>
          <t>Leads</t>
        </is>
      </c>
      <c r="L2" s="190" t="inlineStr">
        <is>
          <t>Ventas</t>
        </is>
      </c>
      <c r="M2" s="190" t="inlineStr">
        <is>
          <t>Facturación</t>
        </is>
      </c>
      <c r="N2" s="190" t="inlineStr">
        <is>
          <t>ROAS</t>
        </is>
      </c>
    </row>
    <row r="3" ht="16" customHeight="1">
      <c r="A3" s="49" t="n">
        <v>1</v>
      </c>
      <c r="B3" s="50" t="inlineStr">
        <is>
          <t>2025-05-01</t>
        </is>
      </c>
      <c r="C3" s="51" t="inlineStr">
        <is>
          <t>Alerones F1 Mayo</t>
        </is>
      </c>
      <c r="D3" s="51" t="inlineStr">
        <is>
          <t>Conversiones</t>
        </is>
      </c>
      <c r="E3" s="49" t="inlineStr">
        <is>
          <t>Instagram</t>
        </is>
      </c>
      <c r="F3" s="53" t="n">
        <v>1200</v>
      </c>
      <c r="G3" s="53" t="n">
        <v>8500</v>
      </c>
      <c r="H3" s="53" t="n">
        <v>320</v>
      </c>
      <c r="I3" s="97">
        <f>IF(G3&gt;0,H3/G3*100,0)</f>
        <v/>
      </c>
      <c r="J3" s="53" t="n">
        <v>28</v>
      </c>
      <c r="K3" s="53" t="n">
        <v>15</v>
      </c>
      <c r="L3" s="53" t="n">
        <v>6</v>
      </c>
      <c r="M3" s="53" t="n">
        <v>2700</v>
      </c>
      <c r="N3" s="98">
        <f>IF(F3&gt;0,M3/F3,0)</f>
        <v/>
      </c>
    </row>
    <row r="4" ht="16" customHeight="1">
      <c r="A4" s="55" t="n">
        <v>2</v>
      </c>
      <c r="B4" s="56" t="inlineStr">
        <is>
          <t>2025-05-01</t>
        </is>
      </c>
      <c r="C4" s="186" t="inlineStr">
        <is>
          <t>Hoodies F1 Mayo</t>
        </is>
      </c>
      <c r="D4" s="186" t="inlineStr">
        <is>
          <t>Alcance</t>
        </is>
      </c>
      <c r="E4" s="55" t="inlineStr">
        <is>
          <t>Facebook</t>
        </is>
      </c>
      <c r="F4" s="187" t="n">
        <v>800</v>
      </c>
      <c r="G4" s="187" t="n">
        <v>12000</v>
      </c>
      <c r="H4" s="187" t="n">
        <v>180</v>
      </c>
      <c r="I4" s="99">
        <f>IF(G4&gt;0,H4/G4*100,0)</f>
        <v/>
      </c>
      <c r="J4" s="187" t="n">
        <v>12</v>
      </c>
      <c r="K4" s="187" t="n">
        <v>8</v>
      </c>
      <c r="L4" s="187" t="n">
        <v>3</v>
      </c>
      <c r="M4" s="187" t="n">
        <v>6600</v>
      </c>
      <c r="N4" s="100">
        <f>IF(F4&gt;0,M4/F4,0)</f>
        <v/>
      </c>
    </row>
    <row r="5" ht="16" customHeight="1">
      <c r="A5" s="49" t="n">
        <v>3</v>
      </c>
      <c r="B5" s="50" t="inlineStr">
        <is>
          <t>2025-05-08</t>
        </is>
      </c>
      <c r="C5" s="51" t="inlineStr">
        <is>
          <t>Lanzamiento Neones</t>
        </is>
      </c>
      <c r="D5" s="51" t="inlineStr">
        <is>
          <t>Conversiones</t>
        </is>
      </c>
      <c r="E5" s="49" t="inlineStr">
        <is>
          <t>Instagram</t>
        </is>
      </c>
      <c r="F5" s="53" t="n">
        <v>1500</v>
      </c>
      <c r="G5" s="53" t="n">
        <v>10200</v>
      </c>
      <c r="H5" s="53" t="n">
        <v>450</v>
      </c>
      <c r="I5" s="97">
        <f>IF(G5&gt;0,H5/G5*100,0)</f>
        <v/>
      </c>
      <c r="J5" s="53" t="n">
        <v>35</v>
      </c>
      <c r="K5" s="53" t="n">
        <v>22</v>
      </c>
      <c r="L5" s="53" t="n">
        <v>9</v>
      </c>
      <c r="M5" s="53" t="n">
        <v>28800</v>
      </c>
      <c r="N5" s="100">
        <f>IF(F5&gt;0,M5/F5,0)</f>
        <v/>
      </c>
    </row>
    <row r="6" ht="16" customHeight="1">
      <c r="A6" s="55" t="n">
        <v>4</v>
      </c>
      <c r="B6" s="56" t="inlineStr">
        <is>
          <t>2025-05-15</t>
        </is>
      </c>
      <c r="C6" s="186" t="inlineStr">
        <is>
          <t>Regalos Día del Padre</t>
        </is>
      </c>
      <c r="D6" s="186" t="inlineStr">
        <is>
          <t>Conversiones</t>
        </is>
      </c>
      <c r="E6" s="55" t="inlineStr">
        <is>
          <t>Instagram</t>
        </is>
      </c>
      <c r="F6" s="187" t="n">
        <v>2000</v>
      </c>
      <c r="G6" s="187" t="n">
        <v>15800</v>
      </c>
      <c r="H6" s="187" t="n">
        <v>620</v>
      </c>
      <c r="I6" s="99">
        <f>IF(G6&gt;0,H6/G6*100,0)</f>
        <v/>
      </c>
      <c r="J6" s="187" t="n">
        <v>48</v>
      </c>
      <c r="K6" s="187" t="n">
        <v>30</v>
      </c>
      <c r="L6" s="187" t="n">
        <v>14</v>
      </c>
      <c r="M6" s="187" t="n">
        <v>18200</v>
      </c>
      <c r="N6" s="100">
        <f>IF(F6&gt;0,M6/F6,0)</f>
        <v/>
      </c>
    </row>
    <row r="7" ht="16" customHeight="1">
      <c r="A7" s="49" t="n">
        <v>5</v>
      </c>
      <c r="B7" s="50" t="inlineStr">
        <is>
          <t>2025-05-15</t>
        </is>
      </c>
      <c r="C7" s="51" t="inlineStr">
        <is>
          <t>Regalos Día del Padre</t>
        </is>
      </c>
      <c r="D7" s="51" t="inlineStr">
        <is>
          <t>Conversiones</t>
        </is>
      </c>
      <c r="E7" s="49" t="inlineStr">
        <is>
          <t>Facebook</t>
        </is>
      </c>
      <c r="F7" s="53" t="n">
        <v>1000</v>
      </c>
      <c r="G7" s="53" t="n">
        <v>9500</v>
      </c>
      <c r="H7" s="53" t="n">
        <v>280</v>
      </c>
      <c r="I7" s="97">
        <f>IF(G7&gt;0,H7/G7*100,0)</f>
        <v/>
      </c>
      <c r="J7" s="53" t="n">
        <v>20</v>
      </c>
      <c r="K7" s="53" t="n">
        <v>12</v>
      </c>
      <c r="L7" s="53" t="n">
        <v>5</v>
      </c>
      <c r="M7" s="53" t="n">
        <v>6500</v>
      </c>
      <c r="N7" s="100">
        <f>IF(F7&gt;0,M7/F7,0)</f>
        <v/>
      </c>
    </row>
    <row r="8" ht="16" customHeight="1">
      <c r="A8" s="55" t="n">
        <v>6</v>
      </c>
      <c r="B8" s="56" t="inlineStr">
        <is>
          <t>2025-05-22</t>
        </is>
      </c>
      <c r="C8" s="186" t="inlineStr">
        <is>
          <t>Mates F1 Flash</t>
        </is>
      </c>
      <c r="D8" s="186" t="inlineStr">
        <is>
          <t>Tráfico</t>
        </is>
      </c>
      <c r="E8" s="55" t="inlineStr">
        <is>
          <t>Instagram</t>
        </is>
      </c>
      <c r="F8" s="187" t="n">
        <v>500</v>
      </c>
      <c r="G8" s="187" t="n">
        <v>4200</v>
      </c>
      <c r="H8" s="187" t="n">
        <v>150</v>
      </c>
      <c r="I8" s="99">
        <f>IF(G8&gt;0,H8/G8*100,0)</f>
        <v/>
      </c>
      <c r="J8" s="187" t="n">
        <v>18</v>
      </c>
      <c r="K8" s="187" t="n">
        <v>10</v>
      </c>
      <c r="L8" s="187" t="n">
        <v>4</v>
      </c>
      <c r="M8" s="187" t="n">
        <v>5600</v>
      </c>
      <c r="N8" s="100">
        <f>IF(F8&gt;0,M8/F8,0)</f>
        <v/>
      </c>
    </row>
  </sheetData>
  <mergeCells count="1">
    <mergeCell ref="A1:N1"/>
  </mergeCells>
  <dataValidations count="2">
    <dataValidation sqref="D3:D100000" showDropDown="0" showInputMessage="0" showErrorMessage="0" allowBlank="1" type="list">
      <formula1>"Conversiones,Alcance,Tráfico,Interacción,Retargeting,Leads,Branding"</formula1>
    </dataValidation>
    <dataValidation sqref="E3:E100000" showDropDown="0" showInputMessage="0" showErrorMessage="0" allowBlank="1" type="list">
      <formula1>"Instagram,Facebook,Google,TikTok,Email,WhatsApp,Otro"</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0695C"/>
    <outlinePr summaryBelow="1" summaryRight="1"/>
    <pageSetUpPr/>
  </sheetPr>
  <dimension ref="A1:K8"/>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9" customWidth="1" min="2" max="2"/>
    <col width="12" customWidth="1" min="3" max="3"/>
    <col width="20" customWidth="1" min="4" max="4"/>
    <col width="14" customWidth="1" min="5" max="5"/>
    <col width="14" customWidth="1" min="6" max="6"/>
    <col width="14" customWidth="1" min="7" max="7"/>
    <col width="20" customWidth="1" min="8" max="8"/>
    <col width="10" customWidth="1" min="9" max="9"/>
    <col width="14" customWidth="1" min="10" max="10"/>
    <col width="13" customWidth="1" min="11" max="11"/>
  </cols>
  <sheetData>
    <row r="1" ht="28" customHeight="1">
      <c r="A1" s="101" t="inlineStr">
        <is>
          <t>🚚  ENVÍOS — SEGUIMIENTO LOGÍSTICO</t>
        </is>
      </c>
    </row>
    <row r="2" ht="22" customHeight="1">
      <c r="A2" s="196" t="inlineStr">
        <is>
          <t>ID Envío</t>
        </is>
      </c>
      <c r="B2" s="196" t="inlineStr">
        <is>
          <t>ID Venta</t>
        </is>
      </c>
      <c r="C2" s="196" t="inlineStr">
        <is>
          <t>Fecha</t>
        </is>
      </c>
      <c r="D2" s="196" t="inlineStr">
        <is>
          <t>Cliente</t>
        </is>
      </c>
      <c r="E2" s="196" t="inlineStr">
        <is>
          <t>Ciudad</t>
        </is>
      </c>
      <c r="F2" s="196" t="inlineStr">
        <is>
          <t>Departamento</t>
        </is>
      </c>
      <c r="G2" s="196" t="inlineStr">
        <is>
          <t>Transportista</t>
        </is>
      </c>
      <c r="H2" s="196" t="inlineStr">
        <is>
          <t>Nro. Seguimiento</t>
        </is>
      </c>
      <c r="I2" s="196" t="inlineStr">
        <is>
          <t>Costo</t>
        </is>
      </c>
      <c r="J2" s="196" t="inlineStr">
        <is>
          <t>Estado</t>
        </is>
      </c>
      <c r="K2" s="196" t="inlineStr">
        <is>
          <t>Fecha Entrega</t>
        </is>
      </c>
    </row>
    <row r="3" ht="16" customHeight="1">
      <c r="A3" s="49" t="n">
        <v>1</v>
      </c>
      <c r="B3" s="49" t="n">
        <v>1</v>
      </c>
      <c r="C3" s="50" t="inlineStr">
        <is>
          <t>2025-05-02</t>
        </is>
      </c>
      <c r="D3" s="51" t="inlineStr">
        <is>
          <t>Martín García</t>
        </is>
      </c>
      <c r="E3" s="51" t="inlineStr">
        <is>
          <t>Montevideo</t>
        </is>
      </c>
      <c r="F3" s="51" t="inlineStr">
        <is>
          <t>Montevideo</t>
        </is>
      </c>
      <c r="G3" s="49" t="inlineStr">
        <is>
          <t>DAC</t>
        </is>
      </c>
      <c r="H3" s="51" t="inlineStr">
        <is>
          <t>DAC-20250502-001</t>
        </is>
      </c>
      <c r="I3" s="53" t="n">
        <v>150</v>
      </c>
      <c r="J3" s="52" t="inlineStr">
        <is>
          <t>Entregado</t>
        </is>
      </c>
      <c r="K3" s="50" t="inlineStr">
        <is>
          <t>2025-05-04</t>
        </is>
      </c>
    </row>
    <row r="4" ht="16" customHeight="1">
      <c r="A4" s="55" t="n">
        <v>2</v>
      </c>
      <c r="B4" s="55" t="n">
        <v>2</v>
      </c>
      <c r="C4" s="56" t="inlineStr">
        <is>
          <t>2025-05-04</t>
        </is>
      </c>
      <c r="D4" s="186" t="inlineStr">
        <is>
          <t>Carlos López</t>
        </is>
      </c>
      <c r="E4" s="186" t="inlineStr">
        <is>
          <t>Rivera</t>
        </is>
      </c>
      <c r="F4" s="186" t="inlineStr">
        <is>
          <t>Rivera</t>
        </is>
      </c>
      <c r="G4" s="55" t="inlineStr">
        <is>
          <t>OCA</t>
        </is>
      </c>
      <c r="H4" s="186" t="inlineStr">
        <is>
          <t>OCA-20250504-001</t>
        </is>
      </c>
      <c r="I4" s="187" t="n">
        <v>220</v>
      </c>
      <c r="J4" s="103" t="inlineStr">
        <is>
          <t>En tránsito</t>
        </is>
      </c>
      <c r="K4" s="56" t="inlineStr"/>
    </row>
    <row r="5" ht="16" customHeight="1">
      <c r="A5" s="49" t="n">
        <v>3</v>
      </c>
      <c r="B5" s="49" t="n">
        <v>3</v>
      </c>
      <c r="C5" s="50" t="inlineStr">
        <is>
          <t>2025-05-06</t>
        </is>
      </c>
      <c r="D5" s="51" t="inlineStr">
        <is>
          <t>Martín García</t>
        </is>
      </c>
      <c r="E5" s="51" t="inlineStr">
        <is>
          <t>Montevideo</t>
        </is>
      </c>
      <c r="F5" s="51" t="inlineStr">
        <is>
          <t>Montevideo</t>
        </is>
      </c>
      <c r="G5" s="49" t="inlineStr">
        <is>
          <t>DAC</t>
        </is>
      </c>
      <c r="H5" s="51" t="inlineStr">
        <is>
          <t>DAC-20250506-002</t>
        </is>
      </c>
      <c r="I5" s="53" t="n">
        <v>150</v>
      </c>
      <c r="J5" s="52" t="inlineStr">
        <is>
          <t>Entregado</t>
        </is>
      </c>
      <c r="K5" s="50" t="inlineStr">
        <is>
          <t>2025-05-08</t>
        </is>
      </c>
    </row>
    <row r="6" ht="16" customHeight="1">
      <c r="A6" s="55" t="n">
        <v>4</v>
      </c>
      <c r="B6" s="55" t="n">
        <v>5</v>
      </c>
      <c r="C6" s="56" t="inlineStr">
        <is>
          <t>2025-05-11</t>
        </is>
      </c>
      <c r="D6" s="186" t="inlineStr">
        <is>
          <t>Laura Rodríguez</t>
        </is>
      </c>
      <c r="E6" s="186" t="inlineStr">
        <is>
          <t>Salto</t>
        </is>
      </c>
      <c r="F6" s="186" t="inlineStr">
        <is>
          <t>Salto</t>
        </is>
      </c>
      <c r="G6" s="55" t="inlineStr">
        <is>
          <t>OCA</t>
        </is>
      </c>
      <c r="H6" s="186" t="inlineStr">
        <is>
          <t>OCA-20250511-001</t>
        </is>
      </c>
      <c r="I6" s="187" t="n">
        <v>280</v>
      </c>
      <c r="J6" s="103" t="inlineStr">
        <is>
          <t>En tránsito</t>
        </is>
      </c>
      <c r="K6" s="56" t="inlineStr"/>
    </row>
    <row r="7" ht="16" customHeight="1">
      <c r="A7" s="49" t="n">
        <v>5</v>
      </c>
      <c r="B7" s="49" t="n">
        <v>7</v>
      </c>
      <c r="C7" s="50" t="inlineStr">
        <is>
          <t>2025-05-16</t>
        </is>
      </c>
      <c r="D7" s="51" t="inlineStr">
        <is>
          <t>Carlos López</t>
        </is>
      </c>
      <c r="E7" s="51" t="inlineStr">
        <is>
          <t>Rivera</t>
        </is>
      </c>
      <c r="F7" s="51" t="inlineStr">
        <is>
          <t>Rivera</t>
        </is>
      </c>
      <c r="G7" s="49" t="inlineStr">
        <is>
          <t>DAC</t>
        </is>
      </c>
      <c r="H7" s="51" t="inlineStr">
        <is>
          <t>DAC-20250516-001</t>
        </is>
      </c>
      <c r="I7" s="53" t="n">
        <v>220</v>
      </c>
      <c r="J7" s="60" t="inlineStr">
        <is>
          <t>Pendiente</t>
        </is>
      </c>
      <c r="K7" s="50" t="inlineStr"/>
    </row>
    <row r="8" ht="16" customHeight="1">
      <c r="A8" s="55" t="n">
        <v>6</v>
      </c>
      <c r="B8" s="55" t="n">
        <v>10</v>
      </c>
      <c r="C8" s="56" t="inlineStr">
        <is>
          <t>2025-05-23</t>
        </is>
      </c>
      <c r="D8" s="186" t="inlineStr">
        <is>
          <t>Sofía Pérez</t>
        </is>
      </c>
      <c r="E8" s="186" t="inlineStr">
        <is>
          <t>Maldonado</t>
        </is>
      </c>
      <c r="F8" s="186" t="inlineStr">
        <is>
          <t>Maldonado</t>
        </is>
      </c>
      <c r="G8" s="55" t="inlineStr">
        <is>
          <t>OCA</t>
        </is>
      </c>
      <c r="H8" s="186" t="inlineStr">
        <is>
          <t>OCA-20250523-001</t>
        </is>
      </c>
      <c r="I8" s="187" t="n">
        <v>260</v>
      </c>
      <c r="J8" s="103" t="inlineStr">
        <is>
          <t>En tránsito</t>
        </is>
      </c>
      <c r="K8" s="56" t="inlineStr"/>
    </row>
  </sheetData>
  <mergeCells count="1">
    <mergeCell ref="A1:K1"/>
  </mergeCells>
  <dataValidations count="2">
    <dataValidation sqref="G3:G100000" showDropDown="0" showInputMessage="0" showErrorMessage="0" allowBlank="1" type="list">
      <formula1>"DAC,OCA,Correo,Retiro personal,Otro"</formula1>
    </dataValidation>
    <dataValidation sqref="J3:J100000" showDropDown="0" showInputMessage="0" showErrorMessage="0" allowBlank="1" type="list">
      <formula1>"Pendiente,En tránsito,Entregado,Devuelto,Sin envío"</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4A148C"/>
    <outlinePr summaryBelow="1" summaryRight="1"/>
    <pageSetUpPr/>
  </sheetPr>
  <dimension ref="A1:L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2" customWidth="1" min="1" max="1"/>
    <col width="36" customWidth="1" min="2" max="2"/>
    <col width="20" customWidth="1" min="3" max="3"/>
    <col width="18" customWidth="1" min="4" max="4"/>
    <col width="16" customWidth="1" min="5" max="5"/>
    <col width="13" customWidth="1" min="6" max="6"/>
    <col width="12" customWidth="1" min="7" max="7"/>
    <col width="12" customWidth="1" min="8" max="8"/>
    <col width="11" customWidth="1" min="9" max="9"/>
    <col width="12" customWidth="1" min="10" max="10"/>
    <col width="12" customWidth="1" min="11" max="11"/>
    <col width="14" customWidth="1" min="12" max="12"/>
  </cols>
  <sheetData>
    <row r="1" ht="28" customHeight="1">
      <c r="A1" s="312" t="inlineStr">
        <is>
          <t>📦  INVENTARIO — CONTROL DE STOCK  |  Actualizado desde WooCommerce</t>
        </is>
      </c>
    </row>
    <row r="2" ht="22" customHeight="1">
      <c r="A2" s="313" t="inlineStr">
        <is>
          <t>SKU</t>
        </is>
      </c>
      <c r="B2" s="313" t="inlineStr">
        <is>
          <t>Producto</t>
        </is>
      </c>
      <c r="C2" s="313" t="inlineStr">
        <is>
          <t>Categoría</t>
        </is>
      </c>
      <c r="D2" s="313" t="inlineStr">
        <is>
          <t>Subcategoría</t>
        </is>
      </c>
      <c r="E2" s="313" t="inlineStr">
        <is>
          <t>Tipo</t>
        </is>
      </c>
      <c r="F2" s="313" t="inlineStr">
        <is>
          <t>Precio Venta</t>
        </is>
      </c>
      <c r="G2" s="313" t="inlineStr">
        <is>
          <t>Stock Actual</t>
        </is>
      </c>
      <c r="H2" s="313" t="inlineStr">
        <is>
          <t>Stock Mínimo</t>
        </is>
      </c>
      <c r="I2" s="313" t="inlineStr">
        <is>
          <t>Stock Ideal</t>
        </is>
      </c>
      <c r="J2" s="313" t="inlineStr">
        <is>
          <t>Costo Unit.</t>
        </is>
      </c>
      <c r="K2" s="313" t="inlineStr">
        <is>
          <t>Valor Stock</t>
        </is>
      </c>
      <c r="L2" s="313" t="inlineStr">
        <is>
          <t>Alerta</t>
        </is>
      </c>
    </row>
    <row r="3" ht="15" customHeight="1">
      <c r="A3" s="298" t="inlineStr"/>
      <c r="B3" s="298" t="inlineStr">
        <is>
          <t>Jarras cerveceras motorsport</t>
        </is>
      </c>
      <c r="C3" s="288" t="inlineStr">
        <is>
          <t>TERMOS Y BEBIDAS</t>
        </is>
      </c>
      <c r="D3" s="298" t="inlineStr">
        <is>
          <t>Mates</t>
        </is>
      </c>
      <c r="E3" s="297" t="inlineStr">
        <is>
          <t>Simple</t>
        </is>
      </c>
      <c r="F3" s="314" t="n">
        <v>950</v>
      </c>
      <c r="G3" s="315" t="n">
        <v>0</v>
      </c>
      <c r="H3" s="316" t="n">
        <v>3</v>
      </c>
      <c r="I3" s="316" t="n">
        <v>10</v>
      </c>
      <c r="J3" s="317" t="n">
        <v>0</v>
      </c>
      <c r="K3" s="317">
        <f>G3*J3</f>
        <v/>
      </c>
      <c r="L3" s="288">
        <f>IF(G3&lt;=0,"CRÍTICO",IF(G3&lt;H3,"CRÍTICO",IF(G3=H3,"STOCK BAJO","")))</f>
        <v/>
      </c>
    </row>
    <row r="4" ht="15" customHeight="1">
      <c r="A4" s="287" t="inlineStr">
        <is>
          <t>ER3D-LAMP-001</t>
        </is>
      </c>
      <c r="B4" s="287" t="inlineStr">
        <is>
          <t>Lámparas retroiluminadas</t>
        </is>
      </c>
      <c r="C4" s="299" t="inlineStr">
        <is>
          <t>ILUMINACIÓN</t>
        </is>
      </c>
      <c r="D4" s="287" t="inlineStr">
        <is>
          <t>Lámparas &amp; Neones</t>
        </is>
      </c>
      <c r="E4" s="286" t="inlineStr">
        <is>
          <t>Simple</t>
        </is>
      </c>
      <c r="F4" s="314" t="n">
        <v>2600</v>
      </c>
      <c r="G4" s="315" t="n">
        <v>0</v>
      </c>
      <c r="H4" s="316" t="n">
        <v>3</v>
      </c>
      <c r="I4" s="316" t="n">
        <v>10</v>
      </c>
      <c r="J4" s="318" t="n">
        <v>0</v>
      </c>
      <c r="K4" s="318">
        <f>G4*J4</f>
        <v/>
      </c>
      <c r="L4" s="288">
        <f>IF(G4&lt;=0,"CRÍTICO",IF(G4&lt;H4,"CRÍTICO",IF(G4=H4,"STOCK BAJO","")))</f>
        <v/>
      </c>
    </row>
    <row r="5" ht="15" customHeight="1">
      <c r="A5" s="298" t="inlineStr">
        <is>
          <t>ER3D-KEYH-001</t>
        </is>
      </c>
      <c r="B5" s="298" t="inlineStr">
        <is>
          <t>Portallaves varios modelos</t>
        </is>
      </c>
      <c r="C5" s="301" t="inlineStr">
        <is>
          <t>IMPRESIÓN 3D</t>
        </is>
      </c>
      <c r="D5" s="298" t="inlineStr">
        <is>
          <t>Portallaves &amp; Garaje</t>
        </is>
      </c>
      <c r="E5" s="297" t="inlineStr">
        <is>
          <t>Simple</t>
        </is>
      </c>
      <c r="F5" s="314" t="n">
        <v>2600</v>
      </c>
      <c r="G5" s="315" t="n">
        <v>0</v>
      </c>
      <c r="H5" s="316" t="n">
        <v>3</v>
      </c>
      <c r="I5" s="316" t="n">
        <v>10</v>
      </c>
      <c r="J5" s="317" t="n">
        <v>0</v>
      </c>
      <c r="K5" s="317">
        <f>G5*J5</f>
        <v/>
      </c>
      <c r="L5" s="288">
        <f>IF(G5&lt;=0,"CRÍTICO",IF(G5&lt;H5,"CRÍTICO",IF(G5=H5,"STOCK BAJO","")))</f>
        <v/>
      </c>
    </row>
    <row r="6" ht="15" customHeight="1">
      <c r="A6" s="287" t="inlineStr">
        <is>
          <t>ER3D-MATE-001</t>
        </is>
      </c>
      <c r="B6" s="287" t="inlineStr">
        <is>
          <t>Mate Pirelli 3D</t>
        </is>
      </c>
      <c r="C6" s="288" t="inlineStr">
        <is>
          <t>TERMOS Y BEBIDAS</t>
        </is>
      </c>
      <c r="D6" s="287" t="inlineStr">
        <is>
          <t>Mates</t>
        </is>
      </c>
      <c r="E6" s="286" t="inlineStr">
        <is>
          <t>Simple</t>
        </is>
      </c>
      <c r="F6" s="314" t="n">
        <v>950</v>
      </c>
      <c r="G6" s="315" t="n">
        <v>0</v>
      </c>
      <c r="H6" s="316" t="n">
        <v>3</v>
      </c>
      <c r="I6" s="316" t="n">
        <v>10</v>
      </c>
      <c r="J6" s="318" t="n">
        <v>0</v>
      </c>
      <c r="K6" s="318">
        <f>G6*J6</f>
        <v/>
      </c>
      <c r="L6" s="288">
        <f>IF(G6&lt;=0,"CRÍTICO",IF(G6&lt;H6,"CRÍTICO",IF(G6=H6,"STOCK BAJO","")))</f>
        <v/>
      </c>
    </row>
    <row r="7" ht="15" customHeight="1">
      <c r="A7" s="298" t="inlineStr">
        <is>
          <t>ER3D-PEN-001</t>
        </is>
      </c>
      <c r="B7" s="298" t="inlineStr">
        <is>
          <t>Lapicero Pirelli</t>
        </is>
      </c>
      <c r="C7" s="301" t="inlineStr">
        <is>
          <t>IMPRESIÓN 3D</t>
        </is>
      </c>
      <c r="D7" s="298" t="inlineStr">
        <is>
          <t>Escritorio &amp; Organización</t>
        </is>
      </c>
      <c r="E7" s="297" t="inlineStr">
        <is>
          <t>Simple</t>
        </is>
      </c>
      <c r="F7" s="314" t="n">
        <v>950</v>
      </c>
      <c r="G7" s="315" t="n">
        <v>0</v>
      </c>
      <c r="H7" s="316" t="n">
        <v>3</v>
      </c>
      <c r="I7" s="316" t="n">
        <v>10</v>
      </c>
      <c r="J7" s="317" t="n">
        <v>0</v>
      </c>
      <c r="K7" s="317">
        <f>G7*J7</f>
        <v/>
      </c>
      <c r="L7" s="288">
        <f>IF(G7&lt;=0,"CRÍTICO",IF(G7&lt;H7,"CRÍTICO",IF(G7=H7,"STOCK BAJO","")))</f>
        <v/>
      </c>
    </row>
    <row r="8" ht="15" customHeight="1">
      <c r="A8" s="287" t="inlineStr">
        <is>
          <t>ER3D-TIRES-SET-001</t>
        </is>
      </c>
      <c r="B8" s="287" t="inlineStr">
        <is>
          <t>Set 5 neumáticos</t>
        </is>
      </c>
      <c r="C8" s="301" t="inlineStr">
        <is>
          <t>IMPRESIÓN 3D</t>
        </is>
      </c>
      <c r="D8" s="287" t="inlineStr">
        <is>
          <t>Alerones &amp; Réplicas</t>
        </is>
      </c>
      <c r="E8" s="286" t="inlineStr">
        <is>
          <t>Simple</t>
        </is>
      </c>
      <c r="F8" s="314" t="n">
        <v>2890</v>
      </c>
      <c r="G8" s="315" t="n">
        <v>0</v>
      </c>
      <c r="H8" s="316" t="n">
        <v>3</v>
      </c>
      <c r="I8" s="316" t="n">
        <v>10</v>
      </c>
      <c r="J8" s="318" t="n">
        <v>0</v>
      </c>
      <c r="K8" s="318">
        <f>G8*J8</f>
        <v/>
      </c>
      <c r="L8" s="288">
        <f>IF(G8&lt;=0,"CRÍTICO",IF(G8&lt;H8,"CRÍTICO",IF(G8=H8,"STOCK BAJO","")))</f>
        <v/>
      </c>
    </row>
    <row r="9" ht="15" customHeight="1">
      <c r="A9" s="298" t="inlineStr">
        <is>
          <t>ER3D-PLATE-001</t>
        </is>
      </c>
      <c r="B9" s="298" t="inlineStr">
        <is>
          <t>Placas de equipos</t>
        </is>
      </c>
      <c r="C9" s="301" t="inlineStr">
        <is>
          <t>IMPRESIÓN 3D</t>
        </is>
      </c>
      <c r="D9" s="298" t="inlineStr">
        <is>
          <t>Decoración</t>
        </is>
      </c>
      <c r="E9" s="297" t="inlineStr">
        <is>
          <t>Simple</t>
        </is>
      </c>
      <c r="F9" s="314" t="n">
        <v>590</v>
      </c>
      <c r="G9" s="315" t="n">
        <v>0</v>
      </c>
      <c r="H9" s="316" t="n">
        <v>3</v>
      </c>
      <c r="I9" s="316" t="n">
        <v>10</v>
      </c>
      <c r="J9" s="317" t="n">
        <v>0</v>
      </c>
      <c r="K9" s="317">
        <f>G9*J9</f>
        <v/>
      </c>
      <c r="L9" s="288">
        <f>IF(G9&lt;=0,"CRÍTICO",IF(G9&lt;H9,"CRÍTICO",IF(G9=H9,"STOCK BAJO","")))</f>
        <v/>
      </c>
    </row>
    <row r="10" ht="15" customHeight="1">
      <c r="A10" s="287" t="inlineStr">
        <is>
          <t>ER3D-NEON-F1-001</t>
        </is>
      </c>
      <c r="B10" s="287" t="inlineStr">
        <is>
          <t>Luminaria Neón-LED F1</t>
        </is>
      </c>
      <c r="C10" s="299" t="inlineStr">
        <is>
          <t>ILUMINACIÓN</t>
        </is>
      </c>
      <c r="D10" s="287" t="inlineStr">
        <is>
          <t>Lámparas &amp; Neones</t>
        </is>
      </c>
      <c r="E10" s="286" t="inlineStr">
        <is>
          <t>Simple</t>
        </is>
      </c>
      <c r="F10" s="314" t="n">
        <v>3200</v>
      </c>
      <c r="G10" s="315" t="n">
        <v>0</v>
      </c>
      <c r="H10" s="316" t="n">
        <v>3</v>
      </c>
      <c r="I10" s="316" t="n">
        <v>10</v>
      </c>
      <c r="J10" s="318" t="n">
        <v>0</v>
      </c>
      <c r="K10" s="318">
        <f>G10*J10</f>
        <v/>
      </c>
      <c r="L10" s="288">
        <f>IF(G10&lt;=0,"CRÍTICO",IF(G10&lt;H10,"CRÍTICO",IF(G10=H10,"STOCK BAJO","")))</f>
        <v/>
      </c>
    </row>
    <row r="11" ht="15" customHeight="1">
      <c r="A11" s="298" t="inlineStr">
        <is>
          <t>ER3D-NEON-SPA-001</t>
        </is>
      </c>
      <c r="B11" s="298" t="inlineStr">
        <is>
          <t>Luminaria circuitos neón</t>
        </is>
      </c>
      <c r="C11" s="299" t="inlineStr">
        <is>
          <t>ILUMINACIÓN</t>
        </is>
      </c>
      <c r="D11" s="298" t="inlineStr">
        <is>
          <t>Lámparas &amp; Neones</t>
        </is>
      </c>
      <c r="E11" s="297" t="inlineStr">
        <is>
          <t>Simple</t>
        </is>
      </c>
      <c r="F11" s="314" t="n">
        <v>1600</v>
      </c>
      <c r="G11" s="315" t="n">
        <v>0</v>
      </c>
      <c r="H11" s="316" t="n">
        <v>3</v>
      </c>
      <c r="I11" s="316" t="n">
        <v>10</v>
      </c>
      <c r="J11" s="317" t="n">
        <v>0</v>
      </c>
      <c r="K11" s="317">
        <f>G11*J11</f>
        <v/>
      </c>
      <c r="L11" s="288">
        <f>IF(G11&lt;=0,"CRÍTICO",IF(G11&lt;H11,"CRÍTICO",IF(G11=H11,"STOCK BAJO","")))</f>
        <v/>
      </c>
    </row>
    <row r="12" ht="15" customHeight="1">
      <c r="A12" s="287" t="inlineStr">
        <is>
          <t>ER3D-LAMP-LEGO-001</t>
        </is>
      </c>
      <c r="B12" s="287" t="inlineStr">
        <is>
          <t>Lámpara Lego</t>
        </is>
      </c>
      <c r="C12" s="299" t="inlineStr">
        <is>
          <t>ILUMINACIÓN</t>
        </is>
      </c>
      <c r="D12" s="287" t="inlineStr">
        <is>
          <t>Lámparas &amp; Neones</t>
        </is>
      </c>
      <c r="E12" s="286" t="inlineStr">
        <is>
          <t>Simple</t>
        </is>
      </c>
      <c r="F12" s="314" t="n">
        <v>2600</v>
      </c>
      <c r="G12" s="315" t="n">
        <v>0</v>
      </c>
      <c r="H12" s="316" t="n">
        <v>3</v>
      </c>
      <c r="I12" s="316" t="n">
        <v>10</v>
      </c>
      <c r="J12" s="318" t="n">
        <v>0</v>
      </c>
      <c r="K12" s="318">
        <f>G12*J12</f>
        <v/>
      </c>
      <c r="L12" s="288">
        <f>IF(G12&lt;=0,"CRÍTICO",IF(G12&lt;H12,"CRÍTICO",IF(G12=H12,"STOCK BAJO","")))</f>
        <v/>
      </c>
    </row>
    <row r="13" ht="15" customHeight="1">
      <c r="A13" s="298" t="inlineStr">
        <is>
          <t>ER3D-LAMP-RB-001</t>
        </is>
      </c>
      <c r="B13" s="298" t="inlineStr">
        <is>
          <t>Lámpara Red Bull</t>
        </is>
      </c>
      <c r="C13" s="299" t="inlineStr">
        <is>
          <t>ILUMINACIÓN</t>
        </is>
      </c>
      <c r="D13" s="298" t="inlineStr">
        <is>
          <t>Lámparas &amp; Neones</t>
        </is>
      </c>
      <c r="E13" s="297" t="inlineStr">
        <is>
          <t>Simple</t>
        </is>
      </c>
      <c r="F13" s="314" t="n">
        <v>2600</v>
      </c>
      <c r="G13" s="315" t="n">
        <v>0</v>
      </c>
      <c r="H13" s="316" t="n">
        <v>3</v>
      </c>
      <c r="I13" s="316" t="n">
        <v>10</v>
      </c>
      <c r="J13" s="317" t="n">
        <v>0</v>
      </c>
      <c r="K13" s="317">
        <f>G13*J13</f>
        <v/>
      </c>
      <c r="L13" s="288">
        <f>IF(G13&lt;=0,"CRÍTICO",IF(G13&lt;H13,"CRÍTICO",IF(G13=H13,"STOCK BAJO","")))</f>
        <v/>
      </c>
    </row>
    <row r="14" ht="15" customHeight="1">
      <c r="A14" s="287" t="inlineStr">
        <is>
          <t>ER3D-CALIPER-ORG-001</t>
        </is>
      </c>
      <c r="B14" s="287" t="inlineStr">
        <is>
          <t>Calipers organizadores</t>
        </is>
      </c>
      <c r="C14" s="301" t="inlineStr">
        <is>
          <t>IMPRESIÓN 3D</t>
        </is>
      </c>
      <c r="D14" s="287" t="inlineStr">
        <is>
          <t>Escritorio &amp; Organización</t>
        </is>
      </c>
      <c r="E14" s="286" t="inlineStr">
        <is>
          <t>Simple</t>
        </is>
      </c>
      <c r="F14" s="314" t="n">
        <v>2190</v>
      </c>
      <c r="G14" s="315" t="n">
        <v>0</v>
      </c>
      <c r="H14" s="316" t="n">
        <v>3</v>
      </c>
      <c r="I14" s="316" t="n">
        <v>10</v>
      </c>
      <c r="J14" s="318" t="n">
        <v>0</v>
      </c>
      <c r="K14" s="318">
        <f>G14*J14</f>
        <v/>
      </c>
      <c r="L14" s="288">
        <f>IF(G14&lt;=0,"CRÍTICO",IF(G14&lt;H14,"CRÍTICO",IF(G14=H14,"STOCK BAJO","")))</f>
        <v/>
      </c>
    </row>
    <row r="15" ht="15" customHeight="1">
      <c r="A15" s="298" t="inlineStr">
        <is>
          <t>ER3D-MATE-HELM-001</t>
        </is>
      </c>
      <c r="B15" s="298" t="inlineStr">
        <is>
          <t>Mate de cascos</t>
        </is>
      </c>
      <c r="C15" s="288" t="inlineStr">
        <is>
          <t>TERMOS Y BEBIDAS</t>
        </is>
      </c>
      <c r="D15" s="298" t="inlineStr">
        <is>
          <t>Mates</t>
        </is>
      </c>
      <c r="E15" s="297" t="inlineStr">
        <is>
          <t>Simple</t>
        </is>
      </c>
      <c r="F15" s="314" t="n">
        <v>2290</v>
      </c>
      <c r="G15" s="315" t="n">
        <v>0</v>
      </c>
      <c r="H15" s="316" t="n">
        <v>3</v>
      </c>
      <c r="I15" s="316" t="n">
        <v>10</v>
      </c>
      <c r="J15" s="317" t="n">
        <v>0</v>
      </c>
      <c r="K15" s="317">
        <f>G15*J15</f>
        <v/>
      </c>
      <c r="L15" s="288">
        <f>IF(G15&lt;=0,"CRÍTICO",IF(G15&lt;H15,"CRÍTICO",IF(G15=H15,"STOCK BAJO","")))</f>
        <v/>
      </c>
    </row>
    <row r="16" ht="15" customHeight="1">
      <c r="A16" s="287" t="inlineStr">
        <is>
          <t>ER3D-DISPLAY-143-001</t>
        </is>
      </c>
      <c r="B16" s="287" t="inlineStr">
        <is>
          <t>Exhibidor 1/43</t>
        </is>
      </c>
      <c r="C16" s="301" t="inlineStr">
        <is>
          <t>IMPRESIÓN 3D</t>
        </is>
      </c>
      <c r="D16" s="287" t="inlineStr">
        <is>
          <t>Alerones &amp; Réplicas</t>
        </is>
      </c>
      <c r="E16" s="286" t="inlineStr">
        <is>
          <t>Simple</t>
        </is>
      </c>
      <c r="F16" s="314" t="n">
        <v>1490</v>
      </c>
      <c r="G16" s="315" t="n">
        <v>0</v>
      </c>
      <c r="H16" s="316" t="n">
        <v>3</v>
      </c>
      <c r="I16" s="316" t="n">
        <v>10</v>
      </c>
      <c r="J16" s="318" t="n">
        <v>0</v>
      </c>
      <c r="K16" s="318">
        <f>G16*J16</f>
        <v/>
      </c>
      <c r="L16" s="288">
        <f>IF(G16&lt;=0,"CRÍTICO",IF(G16&lt;H16,"CRÍTICO",IF(G16=H16,"STOCK BAJO","")))</f>
        <v/>
      </c>
    </row>
    <row r="17" ht="15" customHeight="1">
      <c r="A17" s="298" t="inlineStr">
        <is>
          <t>ER3D-KEY-GAR-001</t>
        </is>
      </c>
      <c r="B17" s="298" t="inlineStr">
        <is>
          <t>Portallaves Garage</t>
        </is>
      </c>
      <c r="C17" s="301" t="inlineStr">
        <is>
          <t>IMPRESIÓN 3D</t>
        </is>
      </c>
      <c r="D17" s="298" t="inlineStr">
        <is>
          <t>Portallaves &amp; Garaje</t>
        </is>
      </c>
      <c r="E17" s="297" t="inlineStr">
        <is>
          <t>Simple</t>
        </is>
      </c>
      <c r="F17" s="314" t="n">
        <v>850</v>
      </c>
      <c r="G17" s="315" t="n">
        <v>0</v>
      </c>
      <c r="H17" s="316" t="n">
        <v>3</v>
      </c>
      <c r="I17" s="316" t="n">
        <v>10</v>
      </c>
      <c r="J17" s="317" t="n">
        <v>0</v>
      </c>
      <c r="K17" s="317">
        <f>G17*J17</f>
        <v/>
      </c>
      <c r="L17" s="288">
        <f>IF(G17&lt;=0,"CRÍTICO",IF(G17&lt;H17,"CRÍTICO",IF(G17=H17,"STOCK BAJO","")))</f>
        <v/>
      </c>
    </row>
    <row r="18" ht="15" customHeight="1">
      <c r="A18" s="287" t="inlineStr">
        <is>
          <t>ER3D-NOSE-MP44-001</t>
        </is>
      </c>
      <c r="B18" s="287" t="inlineStr">
        <is>
          <t>Trompa MP4/4</t>
        </is>
      </c>
      <c r="C18" s="301" t="inlineStr">
        <is>
          <t>IMPRESIÓN 3D</t>
        </is>
      </c>
      <c r="D18" s="287" t="inlineStr">
        <is>
          <t>Alerones &amp; Réplicas</t>
        </is>
      </c>
      <c r="E18" s="286" t="inlineStr">
        <is>
          <t>Simple</t>
        </is>
      </c>
      <c r="F18" s="314" t="n">
        <v>1490</v>
      </c>
      <c r="G18" s="315" t="n">
        <v>0</v>
      </c>
      <c r="H18" s="316" t="n">
        <v>3</v>
      </c>
      <c r="I18" s="316" t="n">
        <v>10</v>
      </c>
      <c r="J18" s="318" t="n">
        <v>0</v>
      </c>
      <c r="K18" s="318">
        <f>G18*J18</f>
        <v/>
      </c>
      <c r="L18" s="288">
        <f>IF(G18&lt;=0,"CRÍTICO",IF(G18&lt;H18,"CRÍTICO",IF(G18=H18,"STOCK BAJO","")))</f>
        <v/>
      </c>
    </row>
    <row r="19" ht="15" customHeight="1">
      <c r="A19" s="298" t="inlineStr">
        <is>
          <t>ER3DL-VOL-F1-001</t>
        </is>
      </c>
      <c r="B19" s="298" t="inlineStr">
        <is>
          <t>Volante F1 personalizable</t>
        </is>
      </c>
      <c r="C19" s="302" t="inlineStr">
        <is>
          <t>PERSONALIZADOS</t>
        </is>
      </c>
      <c r="D19" s="298" t="inlineStr">
        <is>
          <t>A medida</t>
        </is>
      </c>
      <c r="E19" s="297" t="inlineStr">
        <is>
          <t>Simple</t>
        </is>
      </c>
      <c r="F19" s="314" t="n">
        <v>3600</v>
      </c>
      <c r="G19" s="315" t="n">
        <v>0</v>
      </c>
      <c r="H19" s="316" t="n">
        <v>3</v>
      </c>
      <c r="I19" s="316" t="n">
        <v>10</v>
      </c>
      <c r="J19" s="317" t="n">
        <v>0</v>
      </c>
      <c r="K19" s="317">
        <f>G19*J19</f>
        <v/>
      </c>
      <c r="L19" s="288">
        <f>IF(G19&lt;=0,"CRÍTICO",IF(G19&lt;H19,"CRÍTICO",IF(G19=H19,"STOCK BAJO","")))</f>
        <v/>
      </c>
    </row>
    <row r="20" ht="15" customHeight="1">
      <c r="A20" s="287" t="inlineStr">
        <is>
          <t>ER3D-CLOCK-001-ROJO</t>
        </is>
      </c>
      <c r="B20" s="287" t="inlineStr">
        <is>
          <t>Reloj estilo TagHeuer 3D - Rojo</t>
        </is>
      </c>
      <c r="C20" s="301" t="inlineStr">
        <is>
          <t>IMPRESIÓN 3D</t>
        </is>
      </c>
      <c r="D20" s="287" t="inlineStr">
        <is>
          <t>Decoración</t>
        </is>
      </c>
      <c r="E20" s="286" t="inlineStr">
        <is>
          <t>Variante</t>
        </is>
      </c>
      <c r="F20" s="314" t="n">
        <v>4500</v>
      </c>
      <c r="G20" s="315" t="n">
        <v>0</v>
      </c>
      <c r="H20" s="316" t="n">
        <v>3</v>
      </c>
      <c r="I20" s="316" t="n">
        <v>10</v>
      </c>
      <c r="J20" s="318" t="n">
        <v>0</v>
      </c>
      <c r="K20" s="318">
        <f>G20*J20</f>
        <v/>
      </c>
      <c r="L20" s="288">
        <f>IF(G20&lt;=0,"CRÍTICO",IF(G20&lt;H20,"CRÍTICO",IF(G20=H20,"STOCK BAJO","")))</f>
        <v/>
      </c>
    </row>
    <row r="21" ht="15" customHeight="1">
      <c r="A21" s="298" t="inlineStr">
        <is>
          <t>ER3D-CLOCK-001-VERDE</t>
        </is>
      </c>
      <c r="B21" s="298" t="inlineStr">
        <is>
          <t>Reloj estilo TagHeuer 3D - Verde</t>
        </is>
      </c>
      <c r="C21" s="301" t="inlineStr">
        <is>
          <t>IMPRESIÓN 3D</t>
        </is>
      </c>
      <c r="D21" s="298" t="inlineStr">
        <is>
          <t>Decoración</t>
        </is>
      </c>
      <c r="E21" s="297" t="inlineStr">
        <is>
          <t>Variante</t>
        </is>
      </c>
      <c r="F21" s="314" t="n">
        <v>4500</v>
      </c>
      <c r="G21" s="315" t="n">
        <v>0</v>
      </c>
      <c r="H21" s="316" t="n">
        <v>3</v>
      </c>
      <c r="I21" s="316" t="n">
        <v>10</v>
      </c>
      <c r="J21" s="317" t="n">
        <v>0</v>
      </c>
      <c r="K21" s="317">
        <f>G21*J21</f>
        <v/>
      </c>
      <c r="L21" s="288">
        <f>IF(G21&lt;=0,"CRÍTICO",IF(G21&lt;H21,"CRÍTICO",IF(G21=H21,"STOCK BAJO","")))</f>
        <v/>
      </c>
    </row>
    <row r="22" ht="15" customHeight="1">
      <c r="A22" s="287" t="inlineStr">
        <is>
          <t>ER3D-CLOCK-001-AZUL</t>
        </is>
      </c>
      <c r="B22" s="287" t="inlineStr">
        <is>
          <t>Reloj estilo TagHeuer 3D - Azul</t>
        </is>
      </c>
      <c r="C22" s="301" t="inlineStr">
        <is>
          <t>IMPRESIÓN 3D</t>
        </is>
      </c>
      <c r="D22" s="287" t="inlineStr">
        <is>
          <t>Decoración</t>
        </is>
      </c>
      <c r="E22" s="286" t="inlineStr">
        <is>
          <t>Variante</t>
        </is>
      </c>
      <c r="F22" s="314" t="n">
        <v>4500</v>
      </c>
      <c r="G22" s="315" t="n">
        <v>0</v>
      </c>
      <c r="H22" s="316" t="n">
        <v>3</v>
      </c>
      <c r="I22" s="316" t="n">
        <v>10</v>
      </c>
      <c r="J22" s="318" t="n">
        <v>0</v>
      </c>
      <c r="K22" s="318">
        <f>G22*J22</f>
        <v/>
      </c>
      <c r="L22" s="288">
        <f>IF(G22&lt;=0,"CRÍTICO",IF(G22&lt;H22,"CRÍTICO",IF(G22=H22,"STOCK BAJO","")))</f>
        <v/>
      </c>
    </row>
    <row r="23" ht="15" customHeight="1">
      <c r="A23" s="298" t="inlineStr">
        <is>
          <t>ER3D-CLOCK-001-NEGRO</t>
        </is>
      </c>
      <c r="B23" s="298" t="inlineStr">
        <is>
          <t>Reloj estilo TagHeuer 3D - Negro</t>
        </is>
      </c>
      <c r="C23" s="301" t="inlineStr">
        <is>
          <t>IMPRESIÓN 3D</t>
        </is>
      </c>
      <c r="D23" s="298" t="inlineStr">
        <is>
          <t>Decoración</t>
        </is>
      </c>
      <c r="E23" s="297" t="inlineStr">
        <is>
          <t>Variante</t>
        </is>
      </c>
      <c r="F23" s="314" t="n">
        <v>4500</v>
      </c>
      <c r="G23" s="315" t="n">
        <v>0</v>
      </c>
      <c r="H23" s="316" t="n">
        <v>3</v>
      </c>
      <c r="I23" s="316" t="n">
        <v>10</v>
      </c>
      <c r="J23" s="317" t="n">
        <v>0</v>
      </c>
      <c r="K23" s="317">
        <f>G23*J23</f>
        <v/>
      </c>
      <c r="L23" s="288">
        <f>IF(G23&lt;=0,"CRÍTICO",IF(G23&lt;H23,"CRÍTICO",IF(G23=H23,"STOCK BAJO","")))</f>
        <v/>
      </c>
    </row>
    <row r="24" ht="15" customHeight="1">
      <c r="A24" s="287" t="inlineStr">
        <is>
          <t>VAR-FECHAS</t>
        </is>
      </c>
      <c r="B24" s="287" t="inlineStr">
        <is>
          <t>Calendario 2026 - Fechas</t>
        </is>
      </c>
      <c r="C24" s="301" t="inlineStr">
        <is>
          <t>IMPRESIÓN 3D</t>
        </is>
      </c>
      <c r="D24" s="287" t="inlineStr">
        <is>
          <t>Escritorio &amp; Organización</t>
        </is>
      </c>
      <c r="E24" s="286" t="inlineStr">
        <is>
          <t>Variante</t>
        </is>
      </c>
      <c r="F24" s="314" t="n">
        <v>950</v>
      </c>
      <c r="G24" s="315" t="n">
        <v>0</v>
      </c>
      <c r="H24" s="316" t="n">
        <v>3</v>
      </c>
      <c r="I24" s="316" t="n">
        <v>10</v>
      </c>
      <c r="J24" s="318" t="n">
        <v>0</v>
      </c>
      <c r="K24" s="318">
        <f>G24*J24</f>
        <v/>
      </c>
      <c r="L24" s="288">
        <f>IF(G24&lt;=0,"CRÍTICO",IF(G24&lt;H24,"CRÍTICO",IF(G24=H24,"STOCK BAJO","")))</f>
        <v/>
      </c>
    </row>
    <row r="25" ht="15" customHeight="1">
      <c r="A25" s="298" t="inlineStr">
        <is>
          <t>VAR-NOMBRES</t>
        </is>
      </c>
      <c r="B25" s="298" t="inlineStr">
        <is>
          <t>Calendario 2026 - Nombres</t>
        </is>
      </c>
      <c r="C25" s="301" t="inlineStr">
        <is>
          <t>IMPRESIÓN 3D</t>
        </is>
      </c>
      <c r="D25" s="298" t="inlineStr">
        <is>
          <t>Escritorio &amp; Organización</t>
        </is>
      </c>
      <c r="E25" s="297" t="inlineStr">
        <is>
          <t>Variante</t>
        </is>
      </c>
      <c r="F25" s="314" t="n">
        <v>950</v>
      </c>
      <c r="G25" s="315" t="n">
        <v>0</v>
      </c>
      <c r="H25" s="316" t="n">
        <v>3</v>
      </c>
      <c r="I25" s="316" t="n">
        <v>10</v>
      </c>
      <c r="J25" s="317" t="n">
        <v>0</v>
      </c>
      <c r="K25" s="317">
        <f>G25*J25</f>
        <v/>
      </c>
      <c r="L25" s="288">
        <f>IF(G25&lt;=0,"CRÍTICO",IF(G25&lt;H25,"CRÍTICO",IF(G25=H25,"STOCK BAJO","")))</f>
        <v/>
      </c>
    </row>
    <row r="26" ht="15" customHeight="1">
      <c r="A26" s="287" t="inlineStr">
        <is>
          <t>ER3D-WING-LEG-001-MP44</t>
        </is>
      </c>
      <c r="B26" s="287" t="inlineStr">
        <is>
          <t>Alerón trasero leyendas - MP4/4</t>
        </is>
      </c>
      <c r="C26" s="302" t="inlineStr">
        <is>
          <t>PERSONALIZADOS</t>
        </is>
      </c>
      <c r="D26" s="287" t="inlineStr">
        <is>
          <t>A medida</t>
        </is>
      </c>
      <c r="E26" s="286" t="inlineStr">
        <is>
          <t>Variante</t>
        </is>
      </c>
      <c r="F26" s="314" t="n">
        <v>1690</v>
      </c>
      <c r="G26" s="315" t="n">
        <v>0</v>
      </c>
      <c r="H26" s="316" t="n">
        <v>3</v>
      </c>
      <c r="I26" s="316" t="n">
        <v>10</v>
      </c>
      <c r="J26" s="318" t="n">
        <v>0</v>
      </c>
      <c r="K26" s="318">
        <f>G26*J26</f>
        <v/>
      </c>
      <c r="L26" s="288">
        <f>IF(G26&lt;=0,"CRÍTICO",IF(G26&lt;H26,"CRÍTICO",IF(G26=H26,"STOCK BAJO","")))</f>
        <v/>
      </c>
    </row>
    <row r="27" ht="15" customHeight="1">
      <c r="A27" s="298" t="inlineStr">
        <is>
          <t>ER3D-WING-LEG-001-F-2004</t>
        </is>
      </c>
      <c r="B27" s="298" t="inlineStr">
        <is>
          <t>Alerón trasero leyendas - F-2004</t>
        </is>
      </c>
      <c r="C27" s="302" t="inlineStr">
        <is>
          <t>PERSONALIZADOS</t>
        </is>
      </c>
      <c r="D27" s="298" t="inlineStr">
        <is>
          <t>A medida</t>
        </is>
      </c>
      <c r="E27" s="297" t="inlineStr">
        <is>
          <t>Variante</t>
        </is>
      </c>
      <c r="F27" s="314" t="n">
        <v>1690</v>
      </c>
      <c r="G27" s="315" t="n">
        <v>0</v>
      </c>
      <c r="H27" s="316" t="n">
        <v>3</v>
      </c>
      <c r="I27" s="316" t="n">
        <v>10</v>
      </c>
      <c r="J27" s="317" t="n">
        <v>0</v>
      </c>
      <c r="K27" s="317">
        <f>G27*J27</f>
        <v/>
      </c>
      <c r="L27" s="288">
        <f>IF(G27&lt;=0,"CRÍTICO",IF(G27&lt;H27,"CRÍTICO",IF(G27=H27,"STOCK BAJO","")))</f>
        <v/>
      </c>
    </row>
    <row r="28" ht="15" customHeight="1">
      <c r="A28" s="287" t="inlineStr">
        <is>
          <t>ER3D-WING-001-FERRARI</t>
        </is>
      </c>
      <c r="B28" s="287" t="inlineStr">
        <is>
          <t>Alerones F1 delanteros - Ferrari</t>
        </is>
      </c>
      <c r="C28" s="302" t="inlineStr">
        <is>
          <t>PERSONALIZADOS</t>
        </is>
      </c>
      <c r="D28" s="287" t="inlineStr">
        <is>
          <t>A medida</t>
        </is>
      </c>
      <c r="E28" s="286" t="inlineStr">
        <is>
          <t>Variante</t>
        </is>
      </c>
      <c r="F28" s="314" t="n">
        <v>3200</v>
      </c>
      <c r="G28" s="315" t="n">
        <v>0</v>
      </c>
      <c r="H28" s="316" t="n">
        <v>3</v>
      </c>
      <c r="I28" s="316" t="n">
        <v>10</v>
      </c>
      <c r="J28" s="318" t="n">
        <v>0</v>
      </c>
      <c r="K28" s="318">
        <f>G28*J28</f>
        <v/>
      </c>
      <c r="L28" s="288">
        <f>IF(G28&lt;=0,"CRÍTICO",IF(G28&lt;H28,"CRÍTICO",IF(G28=H28,"STOCK BAJO","")))</f>
        <v/>
      </c>
    </row>
    <row r="29" ht="15" customHeight="1">
      <c r="A29" s="298" t="inlineStr">
        <is>
          <t>ER3D-WING-001-ASTON-MART</t>
        </is>
      </c>
      <c r="B29" s="298" t="inlineStr">
        <is>
          <t>Alerones F1 delanteros - Aston Martin</t>
        </is>
      </c>
      <c r="C29" s="302" t="inlineStr">
        <is>
          <t>PERSONALIZADOS</t>
        </is>
      </c>
      <c r="D29" s="298" t="inlineStr">
        <is>
          <t>A medida</t>
        </is>
      </c>
      <c r="E29" s="297" t="inlineStr">
        <is>
          <t>Variante</t>
        </is>
      </c>
      <c r="F29" s="314" t="n">
        <v>3200</v>
      </c>
      <c r="G29" s="315" t="n">
        <v>0</v>
      </c>
      <c r="H29" s="316" t="n">
        <v>3</v>
      </c>
      <c r="I29" s="316" t="n">
        <v>10</v>
      </c>
      <c r="J29" s="317" t="n">
        <v>0</v>
      </c>
      <c r="K29" s="317">
        <f>G29*J29</f>
        <v/>
      </c>
      <c r="L29" s="288">
        <f>IF(G29&lt;=0,"CRÍTICO",IF(G29&lt;H29,"CRÍTICO",IF(G29=H29,"STOCK BAJO","")))</f>
        <v/>
      </c>
    </row>
    <row r="30" ht="15" customHeight="1">
      <c r="A30" s="287" t="inlineStr">
        <is>
          <t>ER3D-WING-001-REDBULL</t>
        </is>
      </c>
      <c r="B30" s="287" t="inlineStr">
        <is>
          <t>Alerones F1 delanteros - RedBull</t>
        </is>
      </c>
      <c r="C30" s="302" t="inlineStr">
        <is>
          <t>PERSONALIZADOS</t>
        </is>
      </c>
      <c r="D30" s="287" t="inlineStr">
        <is>
          <t>A medida</t>
        </is>
      </c>
      <c r="E30" s="286" t="inlineStr">
        <is>
          <t>Variante</t>
        </is>
      </c>
      <c r="F30" s="314" t="n">
        <v>3200</v>
      </c>
      <c r="G30" s="315" t="n">
        <v>0</v>
      </c>
      <c r="H30" s="316" t="n">
        <v>3</v>
      </c>
      <c r="I30" s="316" t="n">
        <v>10</v>
      </c>
      <c r="J30" s="318" t="n">
        <v>0</v>
      </c>
      <c r="K30" s="318">
        <f>G30*J30</f>
        <v/>
      </c>
      <c r="L30" s="288">
        <f>IF(G30&lt;=0,"CRÍTICO",IF(G30&lt;H30,"CRÍTICO",IF(G30=H30,"STOCK BAJO","")))</f>
        <v/>
      </c>
    </row>
    <row r="31" ht="15" customHeight="1">
      <c r="A31" s="298" t="inlineStr">
        <is>
          <t>ER3D-WING-001-F-2004</t>
        </is>
      </c>
      <c r="B31" s="298" t="inlineStr">
        <is>
          <t>Alerones F1 delanteros - F-2004</t>
        </is>
      </c>
      <c r="C31" s="302" t="inlineStr">
        <is>
          <t>PERSONALIZADOS</t>
        </is>
      </c>
      <c r="D31" s="298" t="inlineStr">
        <is>
          <t>A medida</t>
        </is>
      </c>
      <c r="E31" s="297" t="inlineStr">
        <is>
          <t>Variante</t>
        </is>
      </c>
      <c r="F31" s="314" t="n">
        <v>3200</v>
      </c>
      <c r="G31" s="315" t="n">
        <v>0</v>
      </c>
      <c r="H31" s="316" t="n">
        <v>3</v>
      </c>
      <c r="I31" s="316" t="n">
        <v>10</v>
      </c>
      <c r="J31" s="317" t="n">
        <v>0</v>
      </c>
      <c r="K31" s="317">
        <f>G31*J31</f>
        <v/>
      </c>
      <c r="L31" s="288">
        <f>IF(G31&lt;=0,"CRÍTICO",IF(G31&lt;H31,"CRÍTICO",IF(G31=H31,"STOCK BAJO","")))</f>
        <v/>
      </c>
    </row>
    <row r="32" ht="15" customHeight="1">
      <c r="A32" s="287" t="inlineStr">
        <is>
          <t>ER3D-WING-001-MERCEDES</t>
        </is>
      </c>
      <c r="B32" s="287" t="inlineStr">
        <is>
          <t>Alerones F1 delanteros - Mercedes</t>
        </is>
      </c>
      <c r="C32" s="302" t="inlineStr">
        <is>
          <t>PERSONALIZADOS</t>
        </is>
      </c>
      <c r="D32" s="287" t="inlineStr">
        <is>
          <t>A medida</t>
        </is>
      </c>
      <c r="E32" s="286" t="inlineStr">
        <is>
          <t>Variante</t>
        </is>
      </c>
      <c r="F32" s="314" t="n">
        <v>3200</v>
      </c>
      <c r="G32" s="315" t="n">
        <v>0</v>
      </c>
      <c r="H32" s="316" t="n">
        <v>3</v>
      </c>
      <c r="I32" s="316" t="n">
        <v>10</v>
      </c>
      <c r="J32" s="318" t="n">
        <v>0</v>
      </c>
      <c r="K32" s="318">
        <f>G32*J32</f>
        <v/>
      </c>
      <c r="L32" s="288">
        <f>IF(G32&lt;=0,"CRÍTICO",IF(G32&lt;H32,"CRÍTICO",IF(G32=H32,"STOCK BAJO","")))</f>
        <v/>
      </c>
    </row>
    <row r="33" ht="15" customHeight="1">
      <c r="A33" s="298" t="inlineStr">
        <is>
          <t>ER3D-MATERA-F1-001</t>
        </is>
      </c>
      <c r="B33" s="298" t="inlineStr">
        <is>
          <t>Matera personalizada F1</t>
        </is>
      </c>
      <c r="C33" s="288" t="inlineStr">
        <is>
          <t>TERMOS Y BEBIDAS</t>
        </is>
      </c>
      <c r="D33" s="298" t="inlineStr">
        <is>
          <t>Materas</t>
        </is>
      </c>
      <c r="E33" s="297" t="inlineStr">
        <is>
          <t>Simple</t>
        </is>
      </c>
      <c r="F33" s="314" t="n">
        <v>1890</v>
      </c>
      <c r="G33" s="315" t="n">
        <v>0</v>
      </c>
      <c r="H33" s="316" t="n">
        <v>3</v>
      </c>
      <c r="I33" s="316" t="n">
        <v>10</v>
      </c>
      <c r="J33" s="317" t="n">
        <v>0</v>
      </c>
      <c r="K33" s="317">
        <f>G33*J33</f>
        <v/>
      </c>
      <c r="L33" s="288">
        <f>IF(G33&lt;=0,"CRÍTICO",IF(G33&lt;H33,"CRÍTICO",IF(G33=H33,"STOCK BAJO","")))</f>
        <v/>
      </c>
    </row>
    <row r="34" ht="15" customHeight="1">
      <c r="A34" s="287" t="inlineStr">
        <is>
          <t>ER3D-MATERA-FUT-001</t>
        </is>
      </c>
      <c r="B34" s="287" t="inlineStr">
        <is>
          <t>Matera personalizada fútbol</t>
        </is>
      </c>
      <c r="C34" s="288" t="inlineStr">
        <is>
          <t>TERMOS Y BEBIDAS</t>
        </is>
      </c>
      <c r="D34" s="287" t="inlineStr">
        <is>
          <t>Materas</t>
        </is>
      </c>
      <c r="E34" s="286" t="inlineStr">
        <is>
          <t>Simple</t>
        </is>
      </c>
      <c r="F34" s="314" t="n">
        <v>1890</v>
      </c>
      <c r="G34" s="315" t="n">
        <v>0</v>
      </c>
      <c r="H34" s="316" t="n">
        <v>3</v>
      </c>
      <c r="I34" s="316" t="n">
        <v>10</v>
      </c>
      <c r="J34" s="318" t="n">
        <v>0</v>
      </c>
      <c r="K34" s="318">
        <f>G34*J34</f>
        <v/>
      </c>
      <c r="L34" s="288">
        <f>IF(G34&lt;=0,"CRÍTICO",IF(G34&lt;H34,"CRÍTICO",IF(G34=H34,"STOCK BAJO","")))</f>
        <v/>
      </c>
    </row>
    <row r="35" ht="15" customHeight="1">
      <c r="A35" s="298" t="inlineStr">
        <is>
          <t>ER3D-VASO-600-F1-001-FERRARI</t>
        </is>
      </c>
      <c r="B35" s="298" t="inlineStr">
        <is>
          <t>Vaso térmico 600 ml F1 - Ferrari</t>
        </is>
      </c>
      <c r="C35" s="288" t="inlineStr">
        <is>
          <t>TERMOS Y BEBIDAS</t>
        </is>
      </c>
      <c r="D35" s="298" t="inlineStr">
        <is>
          <t>Vasos Térmicos</t>
        </is>
      </c>
      <c r="E35" s="297" t="inlineStr">
        <is>
          <t>Variante</t>
        </is>
      </c>
      <c r="F35" s="314" t="n">
        <v>990</v>
      </c>
      <c r="G35" s="315" t="n">
        <v>0</v>
      </c>
      <c r="H35" s="316" t="n">
        <v>3</v>
      </c>
      <c r="I35" s="316" t="n">
        <v>10</v>
      </c>
      <c r="J35" s="317" t="n">
        <v>0</v>
      </c>
      <c r="K35" s="317">
        <f>G35*J35</f>
        <v/>
      </c>
      <c r="L35" s="288">
        <f>IF(G35&lt;=0,"CRÍTICO",IF(G35&lt;H35,"CRÍTICO",IF(G35=H35,"STOCK BAJO","")))</f>
        <v/>
      </c>
    </row>
    <row r="36" ht="15" customHeight="1">
      <c r="A36" s="287" t="inlineStr">
        <is>
          <t>ER3D-VASO-600-F1-001-MERCEDES</t>
        </is>
      </c>
      <c r="B36" s="287" t="inlineStr">
        <is>
          <t>Vaso térmico 600 ml F1 - Mercedes</t>
        </is>
      </c>
      <c r="C36" s="288" t="inlineStr">
        <is>
          <t>TERMOS Y BEBIDAS</t>
        </is>
      </c>
      <c r="D36" s="287" t="inlineStr">
        <is>
          <t>Vasos Térmicos</t>
        </is>
      </c>
      <c r="E36" s="286" t="inlineStr">
        <is>
          <t>Variante</t>
        </is>
      </c>
      <c r="F36" s="314" t="n">
        <v>990</v>
      </c>
      <c r="G36" s="315" t="n">
        <v>0</v>
      </c>
      <c r="H36" s="316" t="n">
        <v>3</v>
      </c>
      <c r="I36" s="316" t="n">
        <v>10</v>
      </c>
      <c r="J36" s="318" t="n">
        <v>0</v>
      </c>
      <c r="K36" s="318">
        <f>G36*J36</f>
        <v/>
      </c>
      <c r="L36" s="288">
        <f>IF(G36&lt;=0,"CRÍTICO",IF(G36&lt;H36,"CRÍTICO",IF(G36=H36,"STOCK BAJO","")))</f>
        <v/>
      </c>
    </row>
    <row r="37" ht="15" customHeight="1">
      <c r="A37" s="298" t="inlineStr">
        <is>
          <t>ER3D-VASO-600-F1-001-RED-BULL</t>
        </is>
      </c>
      <c r="B37" s="298" t="inlineStr">
        <is>
          <t>Vaso térmico 600 ml F1 - Red Bull</t>
        </is>
      </c>
      <c r="C37" s="288" t="inlineStr">
        <is>
          <t>TERMOS Y BEBIDAS</t>
        </is>
      </c>
      <c r="D37" s="298" t="inlineStr">
        <is>
          <t>Vasos Térmicos</t>
        </is>
      </c>
      <c r="E37" s="297" t="inlineStr">
        <is>
          <t>Variante</t>
        </is>
      </c>
      <c r="F37" s="314" t="n">
        <v>990</v>
      </c>
      <c r="G37" s="315" t="n">
        <v>0</v>
      </c>
      <c r="H37" s="316" t="n">
        <v>3</v>
      </c>
      <c r="I37" s="316" t="n">
        <v>10</v>
      </c>
      <c r="J37" s="317" t="n">
        <v>0</v>
      </c>
      <c r="K37" s="317">
        <f>G37*J37</f>
        <v/>
      </c>
      <c r="L37" s="288">
        <f>IF(G37&lt;=0,"CRÍTICO",IF(G37&lt;H37,"CRÍTICO",IF(G37=H37,"STOCK BAJO","")))</f>
        <v/>
      </c>
    </row>
    <row r="38" ht="15" customHeight="1">
      <c r="A38" s="287" t="inlineStr">
        <is>
          <t>ER3D-VASO-600-F1-001-MAX-VERSTA</t>
        </is>
      </c>
      <c r="B38" s="287" t="inlineStr">
        <is>
          <t>Vaso térmico 600 ml F1 - Max Verstappen 2026</t>
        </is>
      </c>
      <c r="C38" s="288" t="inlineStr">
        <is>
          <t>TERMOS Y BEBIDAS</t>
        </is>
      </c>
      <c r="D38" s="287" t="inlineStr">
        <is>
          <t>Vasos Térmicos</t>
        </is>
      </c>
      <c r="E38" s="286" t="inlineStr">
        <is>
          <t>Variante</t>
        </is>
      </c>
      <c r="F38" s="314" t="n">
        <v>990</v>
      </c>
      <c r="G38" s="315" t="n">
        <v>0</v>
      </c>
      <c r="H38" s="316" t="n">
        <v>3</v>
      </c>
      <c r="I38" s="316" t="n">
        <v>10</v>
      </c>
      <c r="J38" s="318" t="n">
        <v>0</v>
      </c>
      <c r="K38" s="318">
        <f>G38*J38</f>
        <v/>
      </c>
      <c r="L38" s="288">
        <f>IF(G38&lt;=0,"CRÍTICO",IF(G38&lt;H38,"CRÍTICO",IF(G38=H38,"STOCK BAJO","")))</f>
        <v/>
      </c>
    </row>
    <row r="39" ht="15" customHeight="1">
      <c r="A39" s="298" t="inlineStr">
        <is>
          <t>ER3D-VASO-600-F1-001-MAX-VERSTA</t>
        </is>
      </c>
      <c r="B39" s="298" t="inlineStr">
        <is>
          <t>Vaso térmico 600 ml F1 - Max Verstappen</t>
        </is>
      </c>
      <c r="C39" s="288" t="inlineStr">
        <is>
          <t>TERMOS Y BEBIDAS</t>
        </is>
      </c>
      <c r="D39" s="298" t="inlineStr">
        <is>
          <t>Vasos Térmicos</t>
        </is>
      </c>
      <c r="E39" s="297" t="inlineStr">
        <is>
          <t>Variante</t>
        </is>
      </c>
      <c r="F39" s="314" t="n">
        <v>990</v>
      </c>
      <c r="G39" s="315" t="n">
        <v>0</v>
      </c>
      <c r="H39" s="316" t="n">
        <v>3</v>
      </c>
      <c r="I39" s="316" t="n">
        <v>10</v>
      </c>
      <c r="J39" s="317" t="n">
        <v>0</v>
      </c>
      <c r="K39" s="317">
        <f>G39*J39</f>
        <v/>
      </c>
      <c r="L39" s="288">
        <f>IF(G39&lt;=0,"CRÍTICO",IF(G39&lt;H39,"CRÍTICO",IF(G39=H39,"STOCK BAJO","")))</f>
        <v/>
      </c>
    </row>
    <row r="40" ht="15" customHeight="1">
      <c r="A40" s="287" t="inlineStr">
        <is>
          <t>ER3D-VASO-600-F1-001-SENNA-CASC</t>
        </is>
      </c>
      <c r="B40" s="287" t="inlineStr">
        <is>
          <t>Vaso térmico 600 ml F1 - Senna Casco Plateado</t>
        </is>
      </c>
      <c r="C40" s="288" t="inlineStr">
        <is>
          <t>TERMOS Y BEBIDAS</t>
        </is>
      </c>
      <c r="D40" s="287" t="inlineStr">
        <is>
          <t>Vasos Térmicos</t>
        </is>
      </c>
      <c r="E40" s="286" t="inlineStr">
        <is>
          <t>Variante</t>
        </is>
      </c>
      <c r="F40" s="314" t="n">
        <v>990</v>
      </c>
      <c r="G40" s="315" t="n">
        <v>0</v>
      </c>
      <c r="H40" s="316" t="n">
        <v>3</v>
      </c>
      <c r="I40" s="316" t="n">
        <v>10</v>
      </c>
      <c r="J40" s="318" t="n">
        <v>0</v>
      </c>
      <c r="K40" s="318">
        <f>G40*J40</f>
        <v/>
      </c>
      <c r="L40" s="288">
        <f>IF(G40&lt;=0,"CRÍTICO",IF(G40&lt;H40,"CRÍTICO",IF(G40=H40,"STOCK BAJO","")))</f>
        <v/>
      </c>
    </row>
    <row r="41" ht="15" customHeight="1">
      <c r="A41" s="298" t="inlineStr">
        <is>
          <t>ER3D-VASO-600-F1-001-SENNA-CASC</t>
        </is>
      </c>
      <c r="B41" s="298" t="inlineStr">
        <is>
          <t>Vaso térmico 600 ml F1 - Senna Casco</t>
        </is>
      </c>
      <c r="C41" s="288" t="inlineStr">
        <is>
          <t>TERMOS Y BEBIDAS</t>
        </is>
      </c>
      <c r="D41" s="298" t="inlineStr">
        <is>
          <t>Vasos Térmicos</t>
        </is>
      </c>
      <c r="E41" s="297" t="inlineStr">
        <is>
          <t>Variante</t>
        </is>
      </c>
      <c r="F41" s="314" t="n">
        <v>990</v>
      </c>
      <c r="G41" s="315" t="n">
        <v>0</v>
      </c>
      <c r="H41" s="316" t="n">
        <v>3</v>
      </c>
      <c r="I41" s="316" t="n">
        <v>10</v>
      </c>
      <c r="J41" s="317" t="n">
        <v>0</v>
      </c>
      <c r="K41" s="317">
        <f>G41*J41</f>
        <v/>
      </c>
      <c r="L41" s="288">
        <f>IF(G41&lt;=0,"CRÍTICO",IF(G41&lt;H41,"CRÍTICO",IF(G41=H41,"STOCK BAJO","")))</f>
        <v/>
      </c>
    </row>
    <row r="42" ht="15" customHeight="1">
      <c r="A42" s="287" t="inlineStr">
        <is>
          <t>ER3D-VASO-600-F1-001-SENNA-FOTO</t>
        </is>
      </c>
      <c r="B42" s="287" t="inlineStr">
        <is>
          <t>Vaso térmico 600 ml F1 - Senna Fotos</t>
        </is>
      </c>
      <c r="C42" s="288" t="inlineStr">
        <is>
          <t>TERMOS Y BEBIDAS</t>
        </is>
      </c>
      <c r="D42" s="287" t="inlineStr">
        <is>
          <t>Vasos Térmicos</t>
        </is>
      </c>
      <c r="E42" s="286" t="inlineStr">
        <is>
          <t>Variante</t>
        </is>
      </c>
      <c r="F42" s="314" t="n">
        <v>990</v>
      </c>
      <c r="G42" s="315" t="n">
        <v>0</v>
      </c>
      <c r="H42" s="316" t="n">
        <v>3</v>
      </c>
      <c r="I42" s="316" t="n">
        <v>10</v>
      </c>
      <c r="J42" s="318" t="n">
        <v>0</v>
      </c>
      <c r="K42" s="318">
        <f>G42*J42</f>
        <v/>
      </c>
      <c r="L42" s="288">
        <f>IF(G42&lt;=0,"CRÍTICO",IF(G42&lt;H42,"CRÍTICO",IF(G42=H42,"STOCK BAJO","")))</f>
        <v/>
      </c>
    </row>
    <row r="43" ht="15" customHeight="1">
      <c r="A43" s="298" t="inlineStr">
        <is>
          <t>ER3D-VASO-600-F1-001-SAINZ-WILL</t>
        </is>
      </c>
      <c r="B43" s="298" t="inlineStr">
        <is>
          <t>Vaso térmico 600 ml F1 - Sainz Williams</t>
        </is>
      </c>
      <c r="C43" s="288" t="inlineStr">
        <is>
          <t>TERMOS Y BEBIDAS</t>
        </is>
      </c>
      <c r="D43" s="298" t="inlineStr">
        <is>
          <t>Vasos Térmicos</t>
        </is>
      </c>
      <c r="E43" s="297" t="inlineStr">
        <is>
          <t>Variante</t>
        </is>
      </c>
      <c r="F43" s="314" t="n">
        <v>990</v>
      </c>
      <c r="G43" s="315" t="n">
        <v>0</v>
      </c>
      <c r="H43" s="316" t="n">
        <v>3</v>
      </c>
      <c r="I43" s="316" t="n">
        <v>10</v>
      </c>
      <c r="J43" s="317" t="n">
        <v>0</v>
      </c>
      <c r="K43" s="317">
        <f>G43*J43</f>
        <v/>
      </c>
      <c r="L43" s="288">
        <f>IF(G43&lt;=0,"CRÍTICO",IF(G43&lt;H43,"CRÍTICO",IF(G43=H43,"STOCK BAJO","")))</f>
        <v/>
      </c>
    </row>
    <row r="44" ht="15" customHeight="1">
      <c r="A44" s="287" t="inlineStr">
        <is>
          <t>ER3D-VASO-600-F1-001-LANDO-NORR</t>
        </is>
      </c>
      <c r="B44" s="287" t="inlineStr">
        <is>
          <t>Vaso térmico 600 ml F1 - Lando Norris</t>
        </is>
      </c>
      <c r="C44" s="288" t="inlineStr">
        <is>
          <t>TERMOS Y BEBIDAS</t>
        </is>
      </c>
      <c r="D44" s="287" t="inlineStr">
        <is>
          <t>Vasos Térmicos</t>
        </is>
      </c>
      <c r="E44" s="286" t="inlineStr">
        <is>
          <t>Variante</t>
        </is>
      </c>
      <c r="F44" s="314" t="n">
        <v>990</v>
      </c>
      <c r="G44" s="315" t="n">
        <v>0</v>
      </c>
      <c r="H44" s="316" t="n">
        <v>3</v>
      </c>
      <c r="I44" s="316" t="n">
        <v>10</v>
      </c>
      <c r="J44" s="318" t="n">
        <v>0</v>
      </c>
      <c r="K44" s="318">
        <f>G44*J44</f>
        <v/>
      </c>
      <c r="L44" s="288">
        <f>IF(G44&lt;=0,"CRÍTICO",IF(G44&lt;H44,"CRÍTICO",IF(G44=H44,"STOCK BAJO","")))</f>
        <v/>
      </c>
    </row>
    <row r="45" ht="15" customHeight="1">
      <c r="A45" s="298" t="inlineStr">
        <is>
          <t>ER3D-VASO-600-F1-001-CHARLES-LE</t>
        </is>
      </c>
      <c r="B45" s="298" t="inlineStr">
        <is>
          <t>Vaso térmico 600 ml F1 - Charles Leclerc</t>
        </is>
      </c>
      <c r="C45" s="288" t="inlineStr">
        <is>
          <t>TERMOS Y BEBIDAS</t>
        </is>
      </c>
      <c r="D45" s="298" t="inlineStr">
        <is>
          <t>Vasos Térmicos</t>
        </is>
      </c>
      <c r="E45" s="297" t="inlineStr">
        <is>
          <t>Variante</t>
        </is>
      </c>
      <c r="F45" s="314" t="n">
        <v>990</v>
      </c>
      <c r="G45" s="315" t="n">
        <v>0</v>
      </c>
      <c r="H45" s="316" t="n">
        <v>3</v>
      </c>
      <c r="I45" s="316" t="n">
        <v>10</v>
      </c>
      <c r="J45" s="317" t="n">
        <v>0</v>
      </c>
      <c r="K45" s="317">
        <f>G45*J45</f>
        <v/>
      </c>
      <c r="L45" s="288">
        <f>IF(G45&lt;=0,"CRÍTICO",IF(G45&lt;H45,"CRÍTICO",IF(G45=H45,"STOCK BAJO","")))</f>
        <v/>
      </c>
    </row>
    <row r="46" ht="15" customHeight="1">
      <c r="A46" s="287" t="inlineStr">
        <is>
          <t>ER3D-VASO-600-F1-001-ALONSO-AST</t>
        </is>
      </c>
      <c r="B46" s="287" t="inlineStr">
        <is>
          <t>Vaso térmico 600 ml F1 - Alonso Aston Martin</t>
        </is>
      </c>
      <c r="C46" s="288" t="inlineStr">
        <is>
          <t>TERMOS Y BEBIDAS</t>
        </is>
      </c>
      <c r="D46" s="287" t="inlineStr">
        <is>
          <t>Vasos Térmicos</t>
        </is>
      </c>
      <c r="E46" s="286" t="inlineStr">
        <is>
          <t>Variante</t>
        </is>
      </c>
      <c r="F46" s="314" t="n">
        <v>990</v>
      </c>
      <c r="G46" s="315" t="n">
        <v>0</v>
      </c>
      <c r="H46" s="316" t="n">
        <v>3</v>
      </c>
      <c r="I46" s="316" t="n">
        <v>10</v>
      </c>
      <c r="J46" s="318" t="n">
        <v>0</v>
      </c>
      <c r="K46" s="318">
        <f>G46*J46</f>
        <v/>
      </c>
      <c r="L46" s="288">
        <f>IF(G46&lt;=0,"CRÍTICO",IF(G46&lt;H46,"CRÍTICO",IF(G46=H46,"STOCK BAJO","")))</f>
        <v/>
      </c>
    </row>
    <row r="47" ht="15" customHeight="1">
      <c r="A47" s="298" t="inlineStr">
        <is>
          <t>ER3D-VASO-600-F1-001-CHECO-CADI</t>
        </is>
      </c>
      <c r="B47" s="298" t="inlineStr">
        <is>
          <t>Vaso térmico 600 ml F1 - Checo Cadillac</t>
        </is>
      </c>
      <c r="C47" s="288" t="inlineStr">
        <is>
          <t>TERMOS Y BEBIDAS</t>
        </is>
      </c>
      <c r="D47" s="298" t="inlineStr">
        <is>
          <t>Vasos Térmicos</t>
        </is>
      </c>
      <c r="E47" s="297" t="inlineStr">
        <is>
          <t>Variante</t>
        </is>
      </c>
      <c r="F47" s="314" t="n">
        <v>990</v>
      </c>
      <c r="G47" s="315" t="n">
        <v>0</v>
      </c>
      <c r="H47" s="316" t="n">
        <v>3</v>
      </c>
      <c r="I47" s="316" t="n">
        <v>10</v>
      </c>
      <c r="J47" s="317" t="n">
        <v>0</v>
      </c>
      <c r="K47" s="317">
        <f>G47*J47</f>
        <v/>
      </c>
      <c r="L47" s="288">
        <f>IF(G47&lt;=0,"CRÍTICO",IF(G47&lt;H47,"CRÍTICO",IF(G47=H47,"STOCK BAJO","")))</f>
        <v/>
      </c>
    </row>
    <row r="48" ht="15" customHeight="1">
      <c r="A48" s="287" t="inlineStr">
        <is>
          <t>ER3D-VASO-600-F1-001-BOTTAS-CAD</t>
        </is>
      </c>
      <c r="B48" s="287" t="inlineStr">
        <is>
          <t>Vaso térmico 600 ml F1 - Bottas Cadillac</t>
        </is>
      </c>
      <c r="C48" s="288" t="inlineStr">
        <is>
          <t>TERMOS Y BEBIDAS</t>
        </is>
      </c>
      <c r="D48" s="287" t="inlineStr">
        <is>
          <t>Vasos Térmicos</t>
        </is>
      </c>
      <c r="E48" s="286" t="inlineStr">
        <is>
          <t>Variante</t>
        </is>
      </c>
      <c r="F48" s="314" t="n">
        <v>990</v>
      </c>
      <c r="G48" s="315" t="n">
        <v>0</v>
      </c>
      <c r="H48" s="316" t="n">
        <v>3</v>
      </c>
      <c r="I48" s="316" t="n">
        <v>10</v>
      </c>
      <c r="J48" s="318" t="n">
        <v>0</v>
      </c>
      <c r="K48" s="318">
        <f>G48*J48</f>
        <v/>
      </c>
      <c r="L48" s="288">
        <f>IF(G48&lt;=0,"CRÍTICO",IF(G48&lt;H48,"CRÍTICO",IF(G48=H48,"STOCK BAJO","")))</f>
        <v/>
      </c>
    </row>
    <row r="49" ht="15" customHeight="1">
      <c r="A49" s="298" t="inlineStr">
        <is>
          <t>ER3D-HOODIE-001-SENNA-MP44</t>
        </is>
      </c>
      <c r="B49" s="298" t="inlineStr">
        <is>
          <t>Hoodie escuderías — Senna MP4/4</t>
        </is>
      </c>
      <c r="C49" s="311" t="inlineStr">
        <is>
          <t>INDUMENTARIA</t>
        </is>
      </c>
      <c r="D49" s="298" t="inlineStr">
        <is>
          <t>Hoodies &amp; Ropa</t>
        </is>
      </c>
      <c r="E49" s="297" t="inlineStr">
        <is>
          <t>Variante</t>
        </is>
      </c>
      <c r="F49" s="314" t="n">
        <v>1890</v>
      </c>
      <c r="G49" s="315" t="n">
        <v>0</v>
      </c>
      <c r="H49" s="316" t="n">
        <v>3</v>
      </c>
      <c r="I49" s="316" t="n">
        <v>10</v>
      </c>
      <c r="J49" s="317" t="n">
        <v>0</v>
      </c>
      <c r="K49" s="317">
        <f>G49*J49</f>
        <v/>
      </c>
      <c r="L49" s="288">
        <f>IF(G49&lt;=0,"CRÍTICO",IF(G49&lt;H49,"CRÍTICO",IF(G49=H49,"STOCK BAJO","")))</f>
        <v/>
      </c>
    </row>
    <row r="50" ht="15" customHeight="1">
      <c r="A50" s="287" t="inlineStr">
        <is>
          <t>ER3D-HOODIE-001-SENNA-FOTO</t>
        </is>
      </c>
      <c r="B50" s="287" t="inlineStr">
        <is>
          <t>Hoodie escuderías — Senna Fotos</t>
        </is>
      </c>
      <c r="C50" s="311" t="inlineStr">
        <is>
          <t>INDUMENTARIA</t>
        </is>
      </c>
      <c r="D50" s="287" t="inlineStr">
        <is>
          <t>Hoodies &amp; Ropa</t>
        </is>
      </c>
      <c r="E50" s="286" t="inlineStr">
        <is>
          <t>Variante</t>
        </is>
      </c>
      <c r="F50" s="314" t="n">
        <v>1890</v>
      </c>
      <c r="G50" s="315" t="n">
        <v>0</v>
      </c>
      <c r="H50" s="316" t="n">
        <v>3</v>
      </c>
      <c r="I50" s="316" t="n">
        <v>10</v>
      </c>
      <c r="J50" s="318" t="n">
        <v>0</v>
      </c>
      <c r="K50" s="318">
        <f>G50*J50</f>
        <v/>
      </c>
      <c r="L50" s="288">
        <f>IF(G50&lt;=0,"CRÍTICO",IF(G50&lt;H50,"CRÍTICO",IF(G50=H50,"STOCK BAJO","")))</f>
        <v/>
      </c>
    </row>
    <row r="51" ht="15" customHeight="1">
      <c r="A51" s="298" t="inlineStr">
        <is>
          <t>ER3D-HOODIE-001-FERRARI</t>
        </is>
      </c>
      <c r="B51" s="298" t="inlineStr">
        <is>
          <t>Hoodie escuderías — Ferrari</t>
        </is>
      </c>
      <c r="C51" s="311" t="inlineStr">
        <is>
          <t>INDUMENTARIA</t>
        </is>
      </c>
      <c r="D51" s="298" t="inlineStr">
        <is>
          <t>Hoodies &amp; Ropa</t>
        </is>
      </c>
      <c r="E51" s="297" t="inlineStr">
        <is>
          <t>Variante</t>
        </is>
      </c>
      <c r="F51" s="314" t="n">
        <v>1890</v>
      </c>
      <c r="G51" s="315" t="n">
        <v>0</v>
      </c>
      <c r="H51" s="316" t="n">
        <v>3</v>
      </c>
      <c r="I51" s="316" t="n">
        <v>10</v>
      </c>
      <c r="J51" s="317" t="n">
        <v>0</v>
      </c>
      <c r="K51" s="317">
        <f>G51*J51</f>
        <v/>
      </c>
      <c r="L51" s="288">
        <f>IF(G51&lt;=0,"CRÍTICO",IF(G51&lt;H51,"CRÍTICO",IF(G51=H51,"STOCK BAJO","")))</f>
        <v/>
      </c>
    </row>
    <row r="52" ht="15" customHeight="1">
      <c r="A52" s="287" t="inlineStr">
        <is>
          <t>ER3D-HOODIE-001-MERCEDES</t>
        </is>
      </c>
      <c r="B52" s="287" t="inlineStr">
        <is>
          <t>Hoodie escuderías — Mercedes</t>
        </is>
      </c>
      <c r="C52" s="311" t="inlineStr">
        <is>
          <t>INDUMENTARIA</t>
        </is>
      </c>
      <c r="D52" s="287" t="inlineStr">
        <is>
          <t>Hoodies &amp; Ropa</t>
        </is>
      </c>
      <c r="E52" s="286" t="inlineStr">
        <is>
          <t>Variante</t>
        </is>
      </c>
      <c r="F52" s="314" t="n">
        <v>1890</v>
      </c>
      <c r="G52" s="315" t="n">
        <v>0</v>
      </c>
      <c r="H52" s="316" t="n">
        <v>3</v>
      </c>
      <c r="I52" s="316" t="n">
        <v>10</v>
      </c>
      <c r="J52" s="318" t="n">
        <v>0</v>
      </c>
      <c r="K52" s="318">
        <f>G52*J52</f>
        <v/>
      </c>
      <c r="L52" s="288">
        <f>IF(G52&lt;=0,"CRÍTICO",IF(G52&lt;H52,"CRÍTICO",IF(G52=H52,"STOCK BAJO","")))</f>
        <v/>
      </c>
    </row>
    <row r="53" ht="15" customHeight="1">
      <c r="A53" s="298" t="inlineStr">
        <is>
          <t>ER3D-HOODIE-001-MCLAREN</t>
        </is>
      </c>
      <c r="B53" s="298" t="inlineStr">
        <is>
          <t>Hoodie escuderías — McLaren</t>
        </is>
      </c>
      <c r="C53" s="311" t="inlineStr">
        <is>
          <t>INDUMENTARIA</t>
        </is>
      </c>
      <c r="D53" s="298" t="inlineStr">
        <is>
          <t>Hoodies &amp; Ropa</t>
        </is>
      </c>
      <c r="E53" s="297" t="inlineStr">
        <is>
          <t>Variante</t>
        </is>
      </c>
      <c r="F53" s="314" t="n">
        <v>1890</v>
      </c>
      <c r="G53" s="315" t="n">
        <v>0</v>
      </c>
      <c r="H53" s="316" t="n">
        <v>3</v>
      </c>
      <c r="I53" s="316" t="n">
        <v>10</v>
      </c>
      <c r="J53" s="317" t="n">
        <v>0</v>
      </c>
      <c r="K53" s="317">
        <f>G53*J53</f>
        <v/>
      </c>
      <c r="L53" s="288">
        <f>IF(G53&lt;=0,"CRÍTICO",IF(G53&lt;H53,"CRÍTICO",IF(G53=H53,"STOCK BAJO","")))</f>
        <v/>
      </c>
    </row>
    <row r="54" ht="15" customHeight="1">
      <c r="A54" s="287" t="inlineStr">
        <is>
          <t>ER3D-HOODIE-001-MAX-VERSTA</t>
        </is>
      </c>
      <c r="B54" s="287" t="inlineStr">
        <is>
          <t>Hoodie escuderías — Max Verstappen Coche</t>
        </is>
      </c>
      <c r="C54" s="311" t="inlineStr">
        <is>
          <t>INDUMENTARIA</t>
        </is>
      </c>
      <c r="D54" s="287" t="inlineStr">
        <is>
          <t>Hoodies &amp; Ropa</t>
        </is>
      </c>
      <c r="E54" s="286" t="inlineStr">
        <is>
          <t>Variante</t>
        </is>
      </c>
      <c r="F54" s="314" t="n">
        <v>1890</v>
      </c>
      <c r="G54" s="315" t="n">
        <v>0</v>
      </c>
      <c r="H54" s="316" t="n">
        <v>3</v>
      </c>
      <c r="I54" s="316" t="n">
        <v>10</v>
      </c>
      <c r="J54" s="318" t="n">
        <v>0</v>
      </c>
      <c r="K54" s="318">
        <f>G54*J54</f>
        <v/>
      </c>
      <c r="L54" s="288">
        <f>IF(G54&lt;=0,"CRÍTICO",IF(G54&lt;H54,"CRÍTICO",IF(G54=H54,"STOCK BAJO","")))</f>
        <v/>
      </c>
    </row>
    <row r="55" ht="15" customHeight="1">
      <c r="A55" s="298" t="inlineStr">
        <is>
          <t>ER3D-HOODIE-001-MAX-VERSTA</t>
        </is>
      </c>
      <c r="B55" s="298" t="inlineStr">
        <is>
          <t>Hoodie escuderías — Max Verstappen Fotos</t>
        </is>
      </c>
      <c r="C55" s="311" t="inlineStr">
        <is>
          <t>INDUMENTARIA</t>
        </is>
      </c>
      <c r="D55" s="298" t="inlineStr">
        <is>
          <t>Hoodies &amp; Ropa</t>
        </is>
      </c>
      <c r="E55" s="297" t="inlineStr">
        <is>
          <t>Variante</t>
        </is>
      </c>
      <c r="F55" s="314" t="n">
        <v>1890</v>
      </c>
      <c r="G55" s="315" t="n">
        <v>0</v>
      </c>
      <c r="H55" s="316" t="n">
        <v>3</v>
      </c>
      <c r="I55" s="316" t="n">
        <v>10</v>
      </c>
      <c r="J55" s="317" t="n">
        <v>0</v>
      </c>
      <c r="K55" s="317">
        <f>G55*J55</f>
        <v/>
      </c>
      <c r="L55" s="288">
        <f>IF(G55&lt;=0,"CRÍTICO",IF(G55&lt;H55,"CRÍTICO",IF(G55=H55,"STOCK BAJO","")))</f>
        <v/>
      </c>
    </row>
    <row r="56" ht="15" customHeight="1">
      <c r="A56" s="287" t="inlineStr">
        <is>
          <t>ER3D-HOODIE-001-LANDO-NORR</t>
        </is>
      </c>
      <c r="B56" s="287" t="inlineStr">
        <is>
          <t>Hoodie escuderías — Lando Norris Fotos</t>
        </is>
      </c>
      <c r="C56" s="311" t="inlineStr">
        <is>
          <t>INDUMENTARIA</t>
        </is>
      </c>
      <c r="D56" s="287" t="inlineStr">
        <is>
          <t>Hoodies &amp; Ropa</t>
        </is>
      </c>
      <c r="E56" s="286" t="inlineStr">
        <is>
          <t>Variante</t>
        </is>
      </c>
      <c r="F56" s="314" t="n">
        <v>1890</v>
      </c>
      <c r="G56" s="315" t="n">
        <v>0</v>
      </c>
      <c r="H56" s="316" t="n">
        <v>3</v>
      </c>
      <c r="I56" s="316" t="n">
        <v>10</v>
      </c>
      <c r="J56" s="318" t="n">
        <v>0</v>
      </c>
      <c r="K56" s="318">
        <f>G56*J56</f>
        <v/>
      </c>
      <c r="L56" s="288">
        <f>IF(G56&lt;=0,"CRÍTICO",IF(G56&lt;H56,"CRÍTICO",IF(G56=H56,"STOCK BAJO","")))</f>
        <v/>
      </c>
    </row>
    <row r="57" ht="15" customHeight="1">
      <c r="A57" s="298" t="inlineStr">
        <is>
          <t>ER3D-HOODIE-001-LANDO-NORR</t>
        </is>
      </c>
      <c r="B57" s="298" t="inlineStr">
        <is>
          <t>Hoodie escuderías — Lando Norris Coche</t>
        </is>
      </c>
      <c r="C57" s="311" t="inlineStr">
        <is>
          <t>INDUMENTARIA</t>
        </is>
      </c>
      <c r="D57" s="298" t="inlineStr">
        <is>
          <t>Hoodies &amp; Ropa</t>
        </is>
      </c>
      <c r="E57" s="297" t="inlineStr">
        <is>
          <t>Variante</t>
        </is>
      </c>
      <c r="F57" s="314" t="n">
        <v>1890</v>
      </c>
      <c r="G57" s="315" t="n">
        <v>0</v>
      </c>
      <c r="H57" s="316" t="n">
        <v>3</v>
      </c>
      <c r="I57" s="316" t="n">
        <v>10</v>
      </c>
      <c r="J57" s="317" t="n">
        <v>0</v>
      </c>
      <c r="K57" s="317">
        <f>G57*J57</f>
        <v/>
      </c>
      <c r="L57" s="288">
        <f>IF(G57&lt;=0,"CRÍTICO",IF(G57&lt;H57,"CRÍTICO",IF(G57=H57,"STOCK BAJO","")))</f>
        <v/>
      </c>
    </row>
    <row r="58" ht="15" customHeight="1">
      <c r="A58" s="287" t="inlineStr">
        <is>
          <t>ER3D-HOODIE-001-SCHUMACHER</t>
        </is>
      </c>
      <c r="B58" s="287" t="inlineStr">
        <is>
          <t>Hoodie escuderías — Schumacher</t>
        </is>
      </c>
      <c r="C58" s="311" t="inlineStr">
        <is>
          <t>INDUMENTARIA</t>
        </is>
      </c>
      <c r="D58" s="287" t="inlineStr">
        <is>
          <t>Hoodies &amp; Ropa</t>
        </is>
      </c>
      <c r="E58" s="286" t="inlineStr">
        <is>
          <t>Variante</t>
        </is>
      </c>
      <c r="F58" s="314" t="n">
        <v>1890</v>
      </c>
      <c r="G58" s="315" t="n">
        <v>0</v>
      </c>
      <c r="H58" s="316" t="n">
        <v>3</v>
      </c>
      <c r="I58" s="316" t="n">
        <v>10</v>
      </c>
      <c r="J58" s="318" t="n">
        <v>0</v>
      </c>
      <c r="K58" s="318">
        <f>G58*J58</f>
        <v/>
      </c>
      <c r="L58" s="288">
        <f>IF(G58&lt;=0,"CRÍTICO",IF(G58&lt;H58,"CRÍTICO",IF(G58=H58,"STOCK BAJO","")))</f>
        <v/>
      </c>
    </row>
    <row r="59" ht="15" customHeight="1">
      <c r="A59" s="298" t="inlineStr">
        <is>
          <t>ER3D-HOODIE-001-ASTON-MART</t>
        </is>
      </c>
      <c r="B59" s="298" t="inlineStr">
        <is>
          <t>Hoodie escuderías — Aston Martin Alonso</t>
        </is>
      </c>
      <c r="C59" s="311" t="inlineStr">
        <is>
          <t>INDUMENTARIA</t>
        </is>
      </c>
      <c r="D59" s="298" t="inlineStr">
        <is>
          <t>Hoodies &amp; Ropa</t>
        </is>
      </c>
      <c r="E59" s="297" t="inlineStr">
        <is>
          <t>Variante</t>
        </is>
      </c>
      <c r="F59" s="314" t="n">
        <v>1890</v>
      </c>
      <c r="G59" s="315" t="n">
        <v>0</v>
      </c>
      <c r="H59" s="316" t="n">
        <v>3</v>
      </c>
      <c r="I59" s="316" t="n">
        <v>10</v>
      </c>
      <c r="J59" s="317" t="n">
        <v>0</v>
      </c>
      <c r="K59" s="317">
        <f>G59*J59</f>
        <v/>
      </c>
      <c r="L59" s="288">
        <f>IF(G59&lt;=0,"CRÍTICO",IF(G59&lt;H59,"CRÍTICO",IF(G59=H59,"STOCK BAJO","")))</f>
        <v/>
      </c>
    </row>
    <row r="60" ht="15" customHeight="1">
      <c r="A60" s="287" t="inlineStr">
        <is>
          <t>ER3D-HOODIE-001-SENNINHA</t>
        </is>
      </c>
      <c r="B60" s="287" t="inlineStr">
        <is>
          <t>Hoodie escuderías — Senninha</t>
        </is>
      </c>
      <c r="C60" s="311" t="inlineStr">
        <is>
          <t>INDUMENTARIA</t>
        </is>
      </c>
      <c r="D60" s="287" t="inlineStr">
        <is>
          <t>Hoodies &amp; Ropa</t>
        </is>
      </c>
      <c r="E60" s="286" t="inlineStr">
        <is>
          <t>Variante</t>
        </is>
      </c>
      <c r="F60" s="314" t="n">
        <v>1890</v>
      </c>
      <c r="G60" s="315" t="n">
        <v>0</v>
      </c>
      <c r="H60" s="316" t="n">
        <v>3</v>
      </c>
      <c r="I60" s="316" t="n">
        <v>10</v>
      </c>
      <c r="J60" s="318" t="n">
        <v>0</v>
      </c>
      <c r="K60" s="318">
        <f>G60*J60</f>
        <v/>
      </c>
      <c r="L60" s="288">
        <f>IF(G60&lt;=0,"CRÍTICO",IF(G60&lt;H60,"CRÍTICO",IF(G60=H60,"STOCK BAJO","")))</f>
        <v/>
      </c>
    </row>
    <row r="61" ht="15" customHeight="1">
      <c r="A61" s="298" t="inlineStr">
        <is>
          <t>ER3D-HOODIE-001-LOGO-SENNA</t>
        </is>
      </c>
      <c r="B61" s="298" t="inlineStr">
        <is>
          <t>Hoodie escuderías — Logo Senna</t>
        </is>
      </c>
      <c r="C61" s="311" t="inlineStr">
        <is>
          <t>INDUMENTARIA</t>
        </is>
      </c>
      <c r="D61" s="298" t="inlineStr">
        <is>
          <t>Hoodies &amp; Ropa</t>
        </is>
      </c>
      <c r="E61" s="297" t="inlineStr">
        <is>
          <t>Variante</t>
        </is>
      </c>
      <c r="F61" s="314" t="n">
        <v>1890</v>
      </c>
      <c r="G61" s="315" t="n">
        <v>0</v>
      </c>
      <c r="H61" s="316" t="n">
        <v>3</v>
      </c>
      <c r="I61" s="316" t="n">
        <v>10</v>
      </c>
      <c r="J61" s="317" t="n">
        <v>0</v>
      </c>
      <c r="K61" s="317">
        <f>G61*J61</f>
        <v/>
      </c>
      <c r="L61" s="288">
        <f>IF(G61&lt;=0,"CRÍTICO",IF(G61&lt;H61,"CRÍTICO",IF(G61=H61,"STOCK BAJO","")))</f>
        <v/>
      </c>
    </row>
    <row r="62" ht="15" customHeight="1">
      <c r="A62" s="287" t="inlineStr">
        <is>
          <t>ER3D-HOODIE-001-BOX-BOX-BO</t>
        </is>
      </c>
      <c r="B62" s="287" t="inlineStr">
        <is>
          <t>Hoodie escuderías — Box Box Box</t>
        </is>
      </c>
      <c r="C62" s="311" t="inlineStr">
        <is>
          <t>INDUMENTARIA</t>
        </is>
      </c>
      <c r="D62" s="287" t="inlineStr">
        <is>
          <t>Hoodies &amp; Ropa</t>
        </is>
      </c>
      <c r="E62" s="286" t="inlineStr">
        <is>
          <t>Variante</t>
        </is>
      </c>
      <c r="F62" s="314" t="n">
        <v>1890</v>
      </c>
      <c r="G62" s="315" t="n">
        <v>0</v>
      </c>
      <c r="H62" s="316" t="n">
        <v>3</v>
      </c>
      <c r="I62" s="316" t="n">
        <v>10</v>
      </c>
      <c r="J62" s="318" t="n">
        <v>0</v>
      </c>
      <c r="K62" s="318">
        <f>G62*J62</f>
        <v/>
      </c>
      <c r="L62" s="288">
        <f>IF(G62&lt;=0,"CRÍTICO",IF(G62&lt;H62,"CRÍTICO",IF(G62=H62,"STOCK BAJO","")))</f>
        <v/>
      </c>
    </row>
    <row r="63" ht="15" customHeight="1">
      <c r="A63" s="298" t="inlineStr">
        <is>
          <t>ER3D-HOODIE-001-SIMPLY-LOV</t>
        </is>
      </c>
      <c r="B63" s="298" t="inlineStr">
        <is>
          <t>Hoodie escuderías — Simply Lovely</t>
        </is>
      </c>
      <c r="C63" s="311" t="inlineStr">
        <is>
          <t>INDUMENTARIA</t>
        </is>
      </c>
      <c r="D63" s="298" t="inlineStr">
        <is>
          <t>Hoodies &amp; Ropa</t>
        </is>
      </c>
      <c r="E63" s="297" t="inlineStr">
        <is>
          <t>Variante</t>
        </is>
      </c>
      <c r="F63" s="314" t="n">
        <v>1890</v>
      </c>
      <c r="G63" s="315" t="n">
        <v>0</v>
      </c>
      <c r="H63" s="316" t="n">
        <v>3</v>
      </c>
      <c r="I63" s="316" t="n">
        <v>10</v>
      </c>
      <c r="J63" s="317" t="n">
        <v>0</v>
      </c>
      <c r="K63" s="317">
        <f>G63*J63</f>
        <v/>
      </c>
      <c r="L63" s="288">
        <f>IF(G63&lt;=0,"CRÍTICO",IF(G63&lt;H63,"CRÍTICO",IF(G63=H63,"STOCK BAJO","")))</f>
        <v/>
      </c>
    </row>
    <row r="64" ht="15" customHeight="1">
      <c r="A64" s="287" t="inlineStr">
        <is>
          <t>ER3D-HOODIE-001-SEMANA-DE</t>
        </is>
      </c>
      <c r="B64" s="287" t="inlineStr">
        <is>
          <t>Hoodie escuderías — Semana de Carrera</t>
        </is>
      </c>
      <c r="C64" s="311" t="inlineStr">
        <is>
          <t>INDUMENTARIA</t>
        </is>
      </c>
      <c r="D64" s="287" t="inlineStr">
        <is>
          <t>Hoodies &amp; Ropa</t>
        </is>
      </c>
      <c r="E64" s="286" t="inlineStr">
        <is>
          <t>Variante</t>
        </is>
      </c>
      <c r="F64" s="314" t="n">
        <v>1890</v>
      </c>
      <c r="G64" s="315" t="n">
        <v>0</v>
      </c>
      <c r="H64" s="316" t="n">
        <v>3</v>
      </c>
      <c r="I64" s="316" t="n">
        <v>10</v>
      </c>
      <c r="J64" s="318" t="n">
        <v>0</v>
      </c>
      <c r="K64" s="318">
        <f>G64*J64</f>
        <v/>
      </c>
      <c r="L64" s="288">
        <f>IF(G64&lt;=0,"CRÍTICO",IF(G64&lt;H64,"CRÍTICO",IF(G64=H64,"STOCK BAJO","")))</f>
        <v/>
      </c>
    </row>
    <row r="65" ht="15" customHeight="1">
      <c r="A65" s="298" t="inlineStr">
        <is>
          <t>ER3D-HOODIE-001-MUSTANG</t>
        </is>
      </c>
      <c r="B65" s="298" t="inlineStr">
        <is>
          <t>Hoodie escuderías — Mustang</t>
        </is>
      </c>
      <c r="C65" s="311" t="inlineStr">
        <is>
          <t>INDUMENTARIA</t>
        </is>
      </c>
      <c r="D65" s="298" t="inlineStr">
        <is>
          <t>Hoodies &amp; Ropa</t>
        </is>
      </c>
      <c r="E65" s="297" t="inlineStr">
        <is>
          <t>Variante</t>
        </is>
      </c>
      <c r="F65" s="314" t="n">
        <v>1890</v>
      </c>
      <c r="G65" s="315" t="n">
        <v>0</v>
      </c>
      <c r="H65" s="316" t="n">
        <v>3</v>
      </c>
      <c r="I65" s="316" t="n">
        <v>10</v>
      </c>
      <c r="J65" s="317" t="n">
        <v>0</v>
      </c>
      <c r="K65" s="317">
        <f>G65*J65</f>
        <v/>
      </c>
      <c r="L65" s="288">
        <f>IF(G65&lt;=0,"CRÍTICO",IF(G65&lt;H65,"CRÍTICO",IF(G65=H65,"STOCK BAJO","")))</f>
        <v/>
      </c>
    </row>
    <row r="66" ht="15" customHeight="1">
      <c r="A66" s="287" t="inlineStr">
        <is>
          <t>ER3D-HOODIE-001-NEED-MONEY</t>
        </is>
      </c>
      <c r="B66" s="287" t="inlineStr">
        <is>
          <t>Hoodie escuderías — Need Money For Porsche</t>
        </is>
      </c>
      <c r="C66" s="311" t="inlineStr">
        <is>
          <t>INDUMENTARIA</t>
        </is>
      </c>
      <c r="D66" s="287" t="inlineStr">
        <is>
          <t>Hoodies &amp; Ropa</t>
        </is>
      </c>
      <c r="E66" s="286" t="inlineStr">
        <is>
          <t>Variante</t>
        </is>
      </c>
      <c r="F66" s="314" t="n">
        <v>1890</v>
      </c>
      <c r="G66" s="315" t="n">
        <v>0</v>
      </c>
      <c r="H66" s="316" t="n">
        <v>3</v>
      </c>
      <c r="I66" s="316" t="n">
        <v>10</v>
      </c>
      <c r="J66" s="318" t="n">
        <v>0</v>
      </c>
      <c r="K66" s="318">
        <f>G66*J66</f>
        <v/>
      </c>
      <c r="L66" s="288">
        <f>IF(G66&lt;=0,"CRÍTICO",IF(G66&lt;H66,"CRÍTICO",IF(G66=H66,"STOCK BAJO","")))</f>
        <v/>
      </c>
    </row>
    <row r="67" ht="15" customHeight="1">
      <c r="A67" s="298" t="inlineStr">
        <is>
          <t>ER3D-HOODIE-001-PORSCHE</t>
        </is>
      </c>
      <c r="B67" s="298" t="inlineStr">
        <is>
          <t>Hoodie escuderías — Porsche</t>
        </is>
      </c>
      <c r="C67" s="311" t="inlineStr">
        <is>
          <t>INDUMENTARIA</t>
        </is>
      </c>
      <c r="D67" s="298" t="inlineStr">
        <is>
          <t>Hoodies &amp; Ropa</t>
        </is>
      </c>
      <c r="E67" s="297" t="inlineStr">
        <is>
          <t>Variante</t>
        </is>
      </c>
      <c r="F67" s="314" t="n">
        <v>1890</v>
      </c>
      <c r="G67" s="315" t="n">
        <v>0</v>
      </c>
      <c r="H67" s="316" t="n">
        <v>3</v>
      </c>
      <c r="I67" s="316" t="n">
        <v>10</v>
      </c>
      <c r="J67" s="317" t="n">
        <v>0</v>
      </c>
      <c r="K67" s="317">
        <f>G67*J67</f>
        <v/>
      </c>
      <c r="L67" s="288">
        <f>IF(G67&lt;=0,"CRÍTICO",IF(G67&lt;H67,"CRÍTICO",IF(G67=H67,"STOCK BAJO","")))</f>
        <v/>
      </c>
    </row>
    <row r="68" ht="15" customHeight="1">
      <c r="A68" s="287" t="inlineStr">
        <is>
          <t>ER3D-HOODIE-001-AUDI-F1</t>
        </is>
      </c>
      <c r="B68" s="287" t="inlineStr">
        <is>
          <t>Hoodie escuderías — Audi F1</t>
        </is>
      </c>
      <c r="C68" s="311" t="inlineStr">
        <is>
          <t>INDUMENTARIA</t>
        </is>
      </c>
      <c r="D68" s="287" t="inlineStr">
        <is>
          <t>Hoodies &amp; Ropa</t>
        </is>
      </c>
      <c r="E68" s="286" t="inlineStr">
        <is>
          <t>Variante</t>
        </is>
      </c>
      <c r="F68" s="314" t="n">
        <v>1890</v>
      </c>
      <c r="G68" s="315" t="n">
        <v>0</v>
      </c>
      <c r="H68" s="316" t="n">
        <v>3</v>
      </c>
      <c r="I68" s="316" t="n">
        <v>10</v>
      </c>
      <c r="J68" s="318" t="n">
        <v>0</v>
      </c>
      <c r="K68" s="318">
        <f>G68*J68</f>
        <v/>
      </c>
      <c r="L68" s="288">
        <f>IF(G68&lt;=0,"CRÍTICO",IF(G68&lt;H68,"CRÍTICO",IF(G68=H68,"STOCK BAJO","")))</f>
        <v/>
      </c>
    </row>
    <row r="69" ht="15" customHeight="1">
      <c r="A69" s="298" t="inlineStr">
        <is>
          <t>ER3D-HOODIE-001-CADILLAC-F</t>
        </is>
      </c>
      <c r="B69" s="298" t="inlineStr">
        <is>
          <t>Hoodie escuderías — Cadillac F1</t>
        </is>
      </c>
      <c r="C69" s="311" t="inlineStr">
        <is>
          <t>INDUMENTARIA</t>
        </is>
      </c>
      <c r="D69" s="298" t="inlineStr">
        <is>
          <t>Hoodies &amp; Ropa</t>
        </is>
      </c>
      <c r="E69" s="297" t="inlineStr">
        <is>
          <t>Variante</t>
        </is>
      </c>
      <c r="F69" s="314" t="n">
        <v>1890</v>
      </c>
      <c r="G69" s="315" t="n">
        <v>0</v>
      </c>
      <c r="H69" s="316" t="n">
        <v>3</v>
      </c>
      <c r="I69" s="316" t="n">
        <v>10</v>
      </c>
      <c r="J69" s="317" t="n">
        <v>0</v>
      </c>
      <c r="K69" s="317">
        <f>G69*J69</f>
        <v/>
      </c>
      <c r="L69" s="288">
        <f>IF(G69&lt;=0,"CRÍTICO",IF(G69&lt;H69,"CRÍTICO",IF(G69=H69,"STOCK BAJO","")))</f>
        <v/>
      </c>
    </row>
    <row r="70" ht="15" customHeight="1">
      <c r="A70" s="287" t="inlineStr">
        <is>
          <t>ER3D-VASO-600-F1-001-MCLAREN</t>
        </is>
      </c>
      <c r="B70" s="287" t="inlineStr">
        <is>
          <t>Vaso térmico 600 ml F1 - McLaren</t>
        </is>
      </c>
      <c r="C70" s="288" t="inlineStr">
        <is>
          <t>TERMOS Y BEBIDAS</t>
        </is>
      </c>
      <c r="D70" s="287" t="inlineStr">
        <is>
          <t>Vasos Térmicos</t>
        </is>
      </c>
      <c r="E70" s="286" t="inlineStr">
        <is>
          <t>Variante</t>
        </is>
      </c>
      <c r="F70" s="314" t="n">
        <v>990</v>
      </c>
      <c r="G70" s="315" t="n">
        <v>0</v>
      </c>
      <c r="H70" s="316" t="n">
        <v>3</v>
      </c>
      <c r="I70" s="316" t="n">
        <v>10</v>
      </c>
      <c r="J70" s="318" t="n">
        <v>0</v>
      </c>
      <c r="K70" s="318">
        <f>G70*J70</f>
        <v/>
      </c>
      <c r="L70" s="288">
        <f>IF(G70&lt;=0,"CRÍTICO",IF(G70&lt;H70,"CRÍTICO",IF(G70=H70,"STOCK BAJO","")))</f>
        <v/>
      </c>
    </row>
    <row r="71" ht="15" customHeight="1">
      <c r="A71" s="298" t="inlineStr">
        <is>
          <t>ER3D-TAZA-001-FERRARI</t>
        </is>
      </c>
      <c r="B71" s="298" t="inlineStr">
        <is>
          <t>Taza de tus ídolos - Ferrari</t>
        </is>
      </c>
      <c r="C71" s="288" t="inlineStr">
        <is>
          <t>TERMOS Y BEBIDAS</t>
        </is>
      </c>
      <c r="D71" s="298" t="inlineStr">
        <is>
          <t>Mates</t>
        </is>
      </c>
      <c r="E71" s="297" t="inlineStr">
        <is>
          <t>Variante</t>
        </is>
      </c>
      <c r="F71" s="314" t="n">
        <v>390</v>
      </c>
      <c r="G71" s="315" t="n">
        <v>0</v>
      </c>
      <c r="H71" s="316" t="n">
        <v>3</v>
      </c>
      <c r="I71" s="316" t="n">
        <v>10</v>
      </c>
      <c r="J71" s="317" t="n">
        <v>0</v>
      </c>
      <c r="K71" s="317">
        <f>G71*J71</f>
        <v/>
      </c>
      <c r="L71" s="288">
        <f>IF(G71&lt;=0,"CRÍTICO",IF(G71&lt;H71,"CRÍTICO",IF(G71=H71,"STOCK BAJO","")))</f>
        <v/>
      </c>
    </row>
    <row r="72" ht="15" customHeight="1">
      <c r="A72" s="287" t="inlineStr">
        <is>
          <t>ER3D-TAZA-001-MERCEDES</t>
        </is>
      </c>
      <c r="B72" s="287" t="inlineStr">
        <is>
          <t>Taza de tus ídolos - Mercedes</t>
        </is>
      </c>
      <c r="C72" s="288" t="inlineStr">
        <is>
          <t>TERMOS Y BEBIDAS</t>
        </is>
      </c>
      <c r="D72" s="287" t="inlineStr">
        <is>
          <t>Mates</t>
        </is>
      </c>
      <c r="E72" s="286" t="inlineStr">
        <is>
          <t>Variante</t>
        </is>
      </c>
      <c r="F72" s="314" t="n">
        <v>390</v>
      </c>
      <c r="G72" s="315" t="n">
        <v>0</v>
      </c>
      <c r="H72" s="316" t="n">
        <v>3</v>
      </c>
      <c r="I72" s="316" t="n">
        <v>10</v>
      </c>
      <c r="J72" s="318" t="n">
        <v>0</v>
      </c>
      <c r="K72" s="318">
        <f>G72*J72</f>
        <v/>
      </c>
      <c r="L72" s="288">
        <f>IF(G72&lt;=0,"CRÍTICO",IF(G72&lt;H72,"CRÍTICO",IF(G72=H72,"STOCK BAJO","")))</f>
        <v/>
      </c>
    </row>
    <row r="73" ht="15" customHeight="1">
      <c r="A73" s="298" t="inlineStr">
        <is>
          <t>ER3D-TAZA-001-RED-BULL</t>
        </is>
      </c>
      <c r="B73" s="298" t="inlineStr">
        <is>
          <t>Taza de tus ídolos - Red Bull</t>
        </is>
      </c>
      <c r="C73" s="288" t="inlineStr">
        <is>
          <t>TERMOS Y BEBIDAS</t>
        </is>
      </c>
      <c r="D73" s="298" t="inlineStr">
        <is>
          <t>Mates</t>
        </is>
      </c>
      <c r="E73" s="297" t="inlineStr">
        <is>
          <t>Variante</t>
        </is>
      </c>
      <c r="F73" s="314" t="n">
        <v>390</v>
      </c>
      <c r="G73" s="315" t="n">
        <v>0</v>
      </c>
      <c r="H73" s="316" t="n">
        <v>3</v>
      </c>
      <c r="I73" s="316" t="n">
        <v>10</v>
      </c>
      <c r="J73" s="317" t="n">
        <v>0</v>
      </c>
      <c r="K73" s="317">
        <f>G73*J73</f>
        <v/>
      </c>
      <c r="L73" s="288">
        <f>IF(G73&lt;=0,"CRÍTICO",IF(G73&lt;H73,"CRÍTICO",IF(G73=H73,"STOCK BAJO","")))</f>
        <v/>
      </c>
    </row>
    <row r="74" ht="15" customHeight="1">
      <c r="A74" s="287" t="inlineStr">
        <is>
          <t>ER3D-TAZA-001-MAX-VERSTA</t>
        </is>
      </c>
      <c r="B74" s="287" t="inlineStr">
        <is>
          <t>Taza de tus ídolos - Max Verstappen 2026</t>
        </is>
      </c>
      <c r="C74" s="288" t="inlineStr">
        <is>
          <t>TERMOS Y BEBIDAS</t>
        </is>
      </c>
      <c r="D74" s="287" t="inlineStr">
        <is>
          <t>Mates</t>
        </is>
      </c>
      <c r="E74" s="286" t="inlineStr">
        <is>
          <t>Variante</t>
        </is>
      </c>
      <c r="F74" s="314" t="n">
        <v>390</v>
      </c>
      <c r="G74" s="315" t="n">
        <v>0</v>
      </c>
      <c r="H74" s="316" t="n">
        <v>3</v>
      </c>
      <c r="I74" s="316" t="n">
        <v>10</v>
      </c>
      <c r="J74" s="318" t="n">
        <v>0</v>
      </c>
      <c r="K74" s="318">
        <f>G74*J74</f>
        <v/>
      </c>
      <c r="L74" s="288">
        <f>IF(G74&lt;=0,"CRÍTICO",IF(G74&lt;H74,"CRÍTICO",IF(G74=H74,"STOCK BAJO","")))</f>
        <v/>
      </c>
    </row>
    <row r="75" ht="15" customHeight="1">
      <c r="A75" s="298" t="inlineStr">
        <is>
          <t>ER3D-TAZA-001-MAX-VERSTA</t>
        </is>
      </c>
      <c r="B75" s="298" t="inlineStr">
        <is>
          <t>Taza de tus ídolos - Max Verstappen</t>
        </is>
      </c>
      <c r="C75" s="288" t="inlineStr">
        <is>
          <t>TERMOS Y BEBIDAS</t>
        </is>
      </c>
      <c r="D75" s="298" t="inlineStr">
        <is>
          <t>Mates</t>
        </is>
      </c>
      <c r="E75" s="297" t="inlineStr">
        <is>
          <t>Variante</t>
        </is>
      </c>
      <c r="F75" s="314" t="n">
        <v>390</v>
      </c>
      <c r="G75" s="315" t="n">
        <v>0</v>
      </c>
      <c r="H75" s="316" t="n">
        <v>3</v>
      </c>
      <c r="I75" s="316" t="n">
        <v>10</v>
      </c>
      <c r="J75" s="317" t="n">
        <v>0</v>
      </c>
      <c r="K75" s="317">
        <f>G75*J75</f>
        <v/>
      </c>
      <c r="L75" s="288">
        <f>IF(G75&lt;=0,"CRÍTICO",IF(G75&lt;H75,"CRÍTICO",IF(G75=H75,"STOCK BAJO","")))</f>
        <v/>
      </c>
    </row>
    <row r="76" ht="15" customHeight="1">
      <c r="A76" s="287" t="inlineStr">
        <is>
          <t>ER3D-TAZA-001-SENNA-MP44</t>
        </is>
      </c>
      <c r="B76" s="287" t="inlineStr">
        <is>
          <t>Taza de tus ídolos - Senna MP4/4 Coche</t>
        </is>
      </c>
      <c r="C76" s="288" t="inlineStr">
        <is>
          <t>TERMOS Y BEBIDAS</t>
        </is>
      </c>
      <c r="D76" s="287" t="inlineStr">
        <is>
          <t>Mates</t>
        </is>
      </c>
      <c r="E76" s="286" t="inlineStr">
        <is>
          <t>Variante</t>
        </is>
      </c>
      <c r="F76" s="314" t="n">
        <v>390</v>
      </c>
      <c r="G76" s="315" t="n">
        <v>0</v>
      </c>
      <c r="H76" s="316" t="n">
        <v>3</v>
      </c>
      <c r="I76" s="316" t="n">
        <v>10</v>
      </c>
      <c r="J76" s="318" t="n">
        <v>0</v>
      </c>
      <c r="K76" s="318">
        <f>G76*J76</f>
        <v/>
      </c>
      <c r="L76" s="288">
        <f>IF(G76&lt;=0,"CRÍTICO",IF(G76&lt;H76,"CRÍTICO",IF(G76=H76,"STOCK BAJO","")))</f>
        <v/>
      </c>
    </row>
    <row r="77" ht="15" customHeight="1">
      <c r="A77" s="298" t="inlineStr">
        <is>
          <t>ER3D-TAZA-001-SENNA-MP44</t>
        </is>
      </c>
      <c r="B77" s="298" t="inlineStr">
        <is>
          <t>Taza de tus ídolos - Senna MP4/4 Sponsors</t>
        </is>
      </c>
      <c r="C77" s="288" t="inlineStr">
        <is>
          <t>TERMOS Y BEBIDAS</t>
        </is>
      </c>
      <c r="D77" s="298" t="inlineStr">
        <is>
          <t>Mates</t>
        </is>
      </c>
      <c r="E77" s="297" t="inlineStr">
        <is>
          <t>Variante</t>
        </is>
      </c>
      <c r="F77" s="314" t="n">
        <v>390</v>
      </c>
      <c r="G77" s="315" t="n">
        <v>0</v>
      </c>
      <c r="H77" s="316" t="n">
        <v>3</v>
      </c>
      <c r="I77" s="316" t="n">
        <v>10</v>
      </c>
      <c r="J77" s="317" t="n">
        <v>0</v>
      </c>
      <c r="K77" s="317">
        <f>G77*J77</f>
        <v/>
      </c>
      <c r="L77" s="288">
        <f>IF(G77&lt;=0,"CRÍTICO",IF(G77&lt;H77,"CRÍTICO",IF(G77=H77,"STOCK BAJO","")))</f>
        <v/>
      </c>
    </row>
    <row r="78" ht="15" customHeight="1">
      <c r="A78" s="287" t="inlineStr">
        <is>
          <t>ER3D-TAZA-001-SENNA-CASC</t>
        </is>
      </c>
      <c r="B78" s="287" t="inlineStr">
        <is>
          <t>Taza de tus ídolos - Senna Casco</t>
        </is>
      </c>
      <c r="C78" s="288" t="inlineStr">
        <is>
          <t>TERMOS Y BEBIDAS</t>
        </is>
      </c>
      <c r="D78" s="287" t="inlineStr">
        <is>
          <t>Mates</t>
        </is>
      </c>
      <c r="E78" s="286" t="inlineStr">
        <is>
          <t>Variante</t>
        </is>
      </c>
      <c r="F78" s="314" t="n">
        <v>390</v>
      </c>
      <c r="G78" s="315" t="n">
        <v>0</v>
      </c>
      <c r="H78" s="316" t="n">
        <v>3</v>
      </c>
      <c r="I78" s="316" t="n">
        <v>10</v>
      </c>
      <c r="J78" s="318" t="n">
        <v>0</v>
      </c>
      <c r="K78" s="318">
        <f>G78*J78</f>
        <v/>
      </c>
      <c r="L78" s="288">
        <f>IF(G78&lt;=0,"CRÍTICO",IF(G78&lt;H78,"CRÍTICO",IF(G78=H78,"STOCK BAJO","")))</f>
        <v/>
      </c>
    </row>
    <row r="79" ht="15" customHeight="1">
      <c r="A79" s="298" t="inlineStr">
        <is>
          <t>ER3D-TAZA-001-SENNA-FOTO</t>
        </is>
      </c>
      <c r="B79" s="298" t="inlineStr">
        <is>
          <t>Taza de tus ídolos - Senna Fotos</t>
        </is>
      </c>
      <c r="C79" s="288" t="inlineStr">
        <is>
          <t>TERMOS Y BEBIDAS</t>
        </is>
      </c>
      <c r="D79" s="298" t="inlineStr">
        <is>
          <t>Mates</t>
        </is>
      </c>
      <c r="E79" s="297" t="inlineStr">
        <is>
          <t>Variante</t>
        </is>
      </c>
      <c r="F79" s="314" t="n">
        <v>390</v>
      </c>
      <c r="G79" s="315" t="n">
        <v>0</v>
      </c>
      <c r="H79" s="316" t="n">
        <v>3</v>
      </c>
      <c r="I79" s="316" t="n">
        <v>10</v>
      </c>
      <c r="J79" s="317" t="n">
        <v>0</v>
      </c>
      <c r="K79" s="317">
        <f>G79*J79</f>
        <v/>
      </c>
      <c r="L79" s="288">
        <f>IF(G79&lt;=0,"CRÍTICO",IF(G79&lt;H79,"CRÍTICO",IF(G79=H79,"STOCK BAJO","")))</f>
        <v/>
      </c>
    </row>
    <row r="80" ht="15" customHeight="1">
      <c r="A80" s="287" t="inlineStr">
        <is>
          <t>ER3D-TAZA-001-SAINZ-WILL</t>
        </is>
      </c>
      <c r="B80" s="287" t="inlineStr">
        <is>
          <t>Taza de tus ídolos - Sainz Williams</t>
        </is>
      </c>
      <c r="C80" s="288" t="inlineStr">
        <is>
          <t>TERMOS Y BEBIDAS</t>
        </is>
      </c>
      <c r="D80" s="287" t="inlineStr">
        <is>
          <t>Mates</t>
        </is>
      </c>
      <c r="E80" s="286" t="inlineStr">
        <is>
          <t>Variante</t>
        </is>
      </c>
      <c r="F80" s="314" t="n">
        <v>390</v>
      </c>
      <c r="G80" s="315" t="n">
        <v>0</v>
      </c>
      <c r="H80" s="316" t="n">
        <v>3</v>
      </c>
      <c r="I80" s="316" t="n">
        <v>10</v>
      </c>
      <c r="J80" s="318" t="n">
        <v>0</v>
      </c>
      <c r="K80" s="318">
        <f>G80*J80</f>
        <v/>
      </c>
      <c r="L80" s="288">
        <f>IF(G80&lt;=0,"CRÍTICO",IF(G80&lt;H80,"CRÍTICO",IF(G80=H80,"STOCK BAJO","")))</f>
        <v/>
      </c>
    </row>
    <row r="81" ht="15" customHeight="1">
      <c r="A81" s="298" t="inlineStr">
        <is>
          <t>ER3D-TAZA-001-LANDO-NORR</t>
        </is>
      </c>
      <c r="B81" s="298" t="inlineStr">
        <is>
          <t>Taza de tus ídolos - Lando Norris</t>
        </is>
      </c>
      <c r="C81" s="288" t="inlineStr">
        <is>
          <t>TERMOS Y BEBIDAS</t>
        </is>
      </c>
      <c r="D81" s="298" t="inlineStr">
        <is>
          <t>Mates</t>
        </is>
      </c>
      <c r="E81" s="297" t="inlineStr">
        <is>
          <t>Variante</t>
        </is>
      </c>
      <c r="F81" s="314" t="n">
        <v>390</v>
      </c>
      <c r="G81" s="315" t="n">
        <v>0</v>
      </c>
      <c r="H81" s="316" t="n">
        <v>3</v>
      </c>
      <c r="I81" s="316" t="n">
        <v>10</v>
      </c>
      <c r="J81" s="317" t="n">
        <v>0</v>
      </c>
      <c r="K81" s="317">
        <f>G81*J81</f>
        <v/>
      </c>
      <c r="L81" s="288">
        <f>IF(G81&lt;=0,"CRÍTICO",IF(G81&lt;H81,"CRÍTICO",IF(G81=H81,"STOCK BAJO","")))</f>
        <v/>
      </c>
    </row>
    <row r="82" ht="15" customHeight="1">
      <c r="A82" s="287" t="inlineStr">
        <is>
          <t>ER3D-TAZA-001-OSCAR-PIAS</t>
        </is>
      </c>
      <c r="B82" s="287" t="inlineStr">
        <is>
          <t>Taza de tus ídolos - Oscar Piastri</t>
        </is>
      </c>
      <c r="C82" s="288" t="inlineStr">
        <is>
          <t>TERMOS Y BEBIDAS</t>
        </is>
      </c>
      <c r="D82" s="287" t="inlineStr">
        <is>
          <t>Mates</t>
        </is>
      </c>
      <c r="E82" s="286" t="inlineStr">
        <is>
          <t>Variante</t>
        </is>
      </c>
      <c r="F82" s="314" t="n">
        <v>390</v>
      </c>
      <c r="G82" s="315" t="n">
        <v>0</v>
      </c>
      <c r="H82" s="316" t="n">
        <v>3</v>
      </c>
      <c r="I82" s="316" t="n">
        <v>10</v>
      </c>
      <c r="J82" s="318" t="n">
        <v>0</v>
      </c>
      <c r="K82" s="318">
        <f>G82*J82</f>
        <v/>
      </c>
      <c r="L82" s="288">
        <f>IF(G82&lt;=0,"CRÍTICO",IF(G82&lt;H82,"CRÍTICO",IF(G82=H82,"STOCK BAJO","")))</f>
        <v/>
      </c>
    </row>
    <row r="83" ht="15" customHeight="1">
      <c r="A83" s="298" t="inlineStr">
        <is>
          <t>ER3D-TAZA-001-MCLAREN</t>
        </is>
      </c>
      <c r="B83" s="298" t="inlineStr">
        <is>
          <t>Taza de tus ídolos - McLaren</t>
        </is>
      </c>
      <c r="C83" s="288" t="inlineStr">
        <is>
          <t>TERMOS Y BEBIDAS</t>
        </is>
      </c>
      <c r="D83" s="298" t="inlineStr">
        <is>
          <t>Mates</t>
        </is>
      </c>
      <c r="E83" s="297" t="inlineStr">
        <is>
          <t>Variante</t>
        </is>
      </c>
      <c r="F83" s="314" t="n">
        <v>390</v>
      </c>
      <c r="G83" s="315" t="n">
        <v>0</v>
      </c>
      <c r="H83" s="316" t="n">
        <v>3</v>
      </c>
      <c r="I83" s="316" t="n">
        <v>10</v>
      </c>
      <c r="J83" s="317" t="n">
        <v>0</v>
      </c>
      <c r="K83" s="317">
        <f>G83*J83</f>
        <v/>
      </c>
      <c r="L83" s="288">
        <f>IF(G83&lt;=0,"CRÍTICO",IF(G83&lt;H83,"CRÍTICO",IF(G83=H83,"STOCK BAJO","")))</f>
        <v/>
      </c>
    </row>
    <row r="84" ht="15" customHeight="1">
      <c r="A84" s="287" t="inlineStr">
        <is>
          <t>ER3D-TAZA-001-CHARLES-LE</t>
        </is>
      </c>
      <c r="B84" s="287" t="inlineStr">
        <is>
          <t>Taza de tus ídolos - Charles Leclerc Ferrari</t>
        </is>
      </c>
      <c r="C84" s="288" t="inlineStr">
        <is>
          <t>TERMOS Y BEBIDAS</t>
        </is>
      </c>
      <c r="D84" s="287" t="inlineStr">
        <is>
          <t>Mates</t>
        </is>
      </c>
      <c r="E84" s="286" t="inlineStr">
        <is>
          <t>Variante</t>
        </is>
      </c>
      <c r="F84" s="314" t="n">
        <v>390</v>
      </c>
      <c r="G84" s="315" t="n">
        <v>0</v>
      </c>
      <c r="H84" s="316" t="n">
        <v>3</v>
      </c>
      <c r="I84" s="316" t="n">
        <v>10</v>
      </c>
      <c r="J84" s="318" t="n">
        <v>0</v>
      </c>
      <c r="K84" s="318">
        <f>G84*J84</f>
        <v/>
      </c>
      <c r="L84" s="288">
        <f>IF(G84&lt;=0,"CRÍTICO",IF(G84&lt;H84,"CRÍTICO",IF(G84=H84,"STOCK BAJO","")))</f>
        <v/>
      </c>
    </row>
    <row r="85" ht="15" customHeight="1">
      <c r="A85" s="298" t="inlineStr">
        <is>
          <t>ER3D-TAZA-001-CHARLES-LE</t>
        </is>
      </c>
      <c r="B85" s="298" t="inlineStr">
        <is>
          <t>Taza de tus ídolos - Charles Leclerc Fotos</t>
        </is>
      </c>
      <c r="C85" s="288" t="inlineStr">
        <is>
          <t>TERMOS Y BEBIDAS</t>
        </is>
      </c>
      <c r="D85" s="298" t="inlineStr">
        <is>
          <t>Mates</t>
        </is>
      </c>
      <c r="E85" s="297" t="inlineStr">
        <is>
          <t>Variante</t>
        </is>
      </c>
      <c r="F85" s="314" t="n">
        <v>390</v>
      </c>
      <c r="G85" s="315" t="n">
        <v>0</v>
      </c>
      <c r="H85" s="316" t="n">
        <v>3</v>
      </c>
      <c r="I85" s="316" t="n">
        <v>10</v>
      </c>
      <c r="J85" s="317" t="n">
        <v>0</v>
      </c>
      <c r="K85" s="317">
        <f>G85*J85</f>
        <v/>
      </c>
      <c r="L85" s="288">
        <f>IF(G85&lt;=0,"CRÍTICO",IF(G85&lt;H85,"CRÍTICO",IF(G85=H85,"STOCK BAJO","")))</f>
        <v/>
      </c>
    </row>
    <row r="86" ht="15" customHeight="1">
      <c r="A86" s="287" t="inlineStr">
        <is>
          <t>ER3D-TAZA-001-HAMILTON-F</t>
        </is>
      </c>
      <c r="B86" s="287" t="inlineStr">
        <is>
          <t>Taza de tus ídolos - Hamilton Ferrari</t>
        </is>
      </c>
      <c r="C86" s="288" t="inlineStr">
        <is>
          <t>TERMOS Y BEBIDAS</t>
        </is>
      </c>
      <c r="D86" s="287" t="inlineStr">
        <is>
          <t>Mates</t>
        </is>
      </c>
      <c r="E86" s="286" t="inlineStr">
        <is>
          <t>Variante</t>
        </is>
      </c>
      <c r="F86" s="314" t="n">
        <v>390</v>
      </c>
      <c r="G86" s="315" t="n">
        <v>0</v>
      </c>
      <c r="H86" s="316" t="n">
        <v>3</v>
      </c>
      <c r="I86" s="316" t="n">
        <v>10</v>
      </c>
      <c r="J86" s="318" t="n">
        <v>0</v>
      </c>
      <c r="K86" s="318">
        <f>G86*J86</f>
        <v/>
      </c>
      <c r="L86" s="288">
        <f>IF(G86&lt;=0,"CRÍTICO",IF(G86&lt;H86,"CRÍTICO",IF(G86=H86,"STOCK BAJO","")))</f>
        <v/>
      </c>
    </row>
    <row r="87" ht="15" customHeight="1">
      <c r="A87" s="298" t="inlineStr">
        <is>
          <t>ER3D-TAZA-001-HAMILTON-F</t>
        </is>
      </c>
      <c r="B87" s="298" t="inlineStr">
        <is>
          <t>Taza de tus ídolos - Hamilton Fotos</t>
        </is>
      </c>
      <c r="C87" s="288" t="inlineStr">
        <is>
          <t>TERMOS Y BEBIDAS</t>
        </is>
      </c>
      <c r="D87" s="298" t="inlineStr">
        <is>
          <t>Mates</t>
        </is>
      </c>
      <c r="E87" s="297" t="inlineStr">
        <is>
          <t>Variante</t>
        </is>
      </c>
      <c r="F87" s="314" t="n">
        <v>390</v>
      </c>
      <c r="G87" s="315" t="n">
        <v>0</v>
      </c>
      <c r="H87" s="316" t="n">
        <v>3</v>
      </c>
      <c r="I87" s="316" t="n">
        <v>10</v>
      </c>
      <c r="J87" s="317" t="n">
        <v>0</v>
      </c>
      <c r="K87" s="317">
        <f>G87*J87</f>
        <v/>
      </c>
      <c r="L87" s="288">
        <f>IF(G87&lt;=0,"CRÍTICO",IF(G87&lt;H87,"CRÍTICO",IF(G87=H87,"STOCK BAJO","")))</f>
        <v/>
      </c>
    </row>
    <row r="88" ht="15" customHeight="1">
      <c r="A88" s="287" t="inlineStr">
        <is>
          <t>ER3D-TAZA-001-ALONSO-AST</t>
        </is>
      </c>
      <c r="B88" s="287" t="inlineStr">
        <is>
          <t>Taza de tus ídolos - Alonso Aston Martin</t>
        </is>
      </c>
      <c r="C88" s="288" t="inlineStr">
        <is>
          <t>TERMOS Y BEBIDAS</t>
        </is>
      </c>
      <c r="D88" s="287" t="inlineStr">
        <is>
          <t>Mates</t>
        </is>
      </c>
      <c r="E88" s="286" t="inlineStr">
        <is>
          <t>Variante</t>
        </is>
      </c>
      <c r="F88" s="314" t="n">
        <v>390</v>
      </c>
      <c r="G88" s="315" t="n">
        <v>0</v>
      </c>
      <c r="H88" s="316" t="n">
        <v>3</v>
      </c>
      <c r="I88" s="316" t="n">
        <v>10</v>
      </c>
      <c r="J88" s="318" t="n">
        <v>0</v>
      </c>
      <c r="K88" s="318">
        <f>G88*J88</f>
        <v/>
      </c>
      <c r="L88" s="288">
        <f>IF(G88&lt;=0,"CRÍTICO",IF(G88&lt;H88,"CRÍTICO",IF(G88=H88,"STOCK BAJO","")))</f>
        <v/>
      </c>
    </row>
    <row r="89" ht="15" customHeight="1">
      <c r="A89" s="298" t="inlineStr">
        <is>
          <t>ER3D-TAZA-001-ALONSO-REN</t>
        </is>
      </c>
      <c r="B89" s="298" t="inlineStr">
        <is>
          <t>Taza de tus ídolos - Alonso Renault</t>
        </is>
      </c>
      <c r="C89" s="288" t="inlineStr">
        <is>
          <t>TERMOS Y BEBIDAS</t>
        </is>
      </c>
      <c r="D89" s="298" t="inlineStr">
        <is>
          <t>Mates</t>
        </is>
      </c>
      <c r="E89" s="297" t="inlineStr">
        <is>
          <t>Variante</t>
        </is>
      </c>
      <c r="F89" s="314" t="n">
        <v>390</v>
      </c>
      <c r="G89" s="315" t="n">
        <v>0</v>
      </c>
      <c r="H89" s="316" t="n">
        <v>3</v>
      </c>
      <c r="I89" s="316" t="n">
        <v>10</v>
      </c>
      <c r="J89" s="317" t="n">
        <v>0</v>
      </c>
      <c r="K89" s="317">
        <f>G89*J89</f>
        <v/>
      </c>
      <c r="L89" s="288">
        <f>IF(G89&lt;=0,"CRÍTICO",IF(G89&lt;H89,"CRÍTICO",IF(G89=H89,"STOCK BAJO","")))</f>
        <v/>
      </c>
    </row>
    <row r="90" ht="15" customHeight="1">
      <c r="A90" s="287" t="inlineStr">
        <is>
          <t>ER3D-TAZA-001-BOTTAS-CAD</t>
        </is>
      </c>
      <c r="B90" s="287" t="inlineStr">
        <is>
          <t>Taza de tus ídolos - Bottas Cadillac</t>
        </is>
      </c>
      <c r="C90" s="288" t="inlineStr">
        <is>
          <t>TERMOS Y BEBIDAS</t>
        </is>
      </c>
      <c r="D90" s="287" t="inlineStr">
        <is>
          <t>Mates</t>
        </is>
      </c>
      <c r="E90" s="286" t="inlineStr">
        <is>
          <t>Variante</t>
        </is>
      </c>
      <c r="F90" s="314" t="n">
        <v>390</v>
      </c>
      <c r="G90" s="315" t="n">
        <v>0</v>
      </c>
      <c r="H90" s="316" t="n">
        <v>3</v>
      </c>
      <c r="I90" s="316" t="n">
        <v>10</v>
      </c>
      <c r="J90" s="318" t="n">
        <v>0</v>
      </c>
      <c r="K90" s="318">
        <f>G90*J90</f>
        <v/>
      </c>
      <c r="L90" s="288">
        <f>IF(G90&lt;=0,"CRÍTICO",IF(G90&lt;H90,"CRÍTICO",IF(G90=H90,"STOCK BAJO","")))</f>
        <v/>
      </c>
    </row>
    <row r="91" ht="15" customHeight="1">
      <c r="A91" s="298" t="inlineStr">
        <is>
          <t>ER3D-TAZA-001-CHECO-CADI</t>
        </is>
      </c>
      <c r="B91" s="298" t="inlineStr">
        <is>
          <t>Taza de tus ídolos - Checo Cadillac</t>
        </is>
      </c>
      <c r="C91" s="288" t="inlineStr">
        <is>
          <t>TERMOS Y BEBIDAS</t>
        </is>
      </c>
      <c r="D91" s="298" t="inlineStr">
        <is>
          <t>Mates</t>
        </is>
      </c>
      <c r="E91" s="297" t="inlineStr">
        <is>
          <t>Variante</t>
        </is>
      </c>
      <c r="F91" s="314" t="n">
        <v>390</v>
      </c>
      <c r="G91" s="315" t="n">
        <v>0</v>
      </c>
      <c r="H91" s="316" t="n">
        <v>3</v>
      </c>
      <c r="I91" s="316" t="n">
        <v>10</v>
      </c>
      <c r="J91" s="317" t="n">
        <v>0</v>
      </c>
      <c r="K91" s="317">
        <f>G91*J91</f>
        <v/>
      </c>
      <c r="L91" s="288">
        <f>IF(G91&lt;=0,"CRÍTICO",IF(G91&lt;H91,"CRÍTICO",IF(G91=H91,"STOCK BAJO","")))</f>
        <v/>
      </c>
    </row>
    <row r="92" ht="15" customHeight="1">
      <c r="A92" s="287" t="inlineStr">
        <is>
          <t>ER3D-HOODIE-001-SENNA-VINT</t>
        </is>
      </c>
      <c r="B92" s="287" t="inlineStr">
        <is>
          <t>Hoodie escuderías — Senna Vintage</t>
        </is>
      </c>
      <c r="C92" s="311" t="inlineStr">
        <is>
          <t>INDUMENTARIA</t>
        </is>
      </c>
      <c r="D92" s="287" t="inlineStr">
        <is>
          <t>Hoodies &amp; Ropa</t>
        </is>
      </c>
      <c r="E92" s="286" t="inlineStr">
        <is>
          <t>Variante</t>
        </is>
      </c>
      <c r="F92" s="314" t="n">
        <v>1890</v>
      </c>
      <c r="G92" s="315" t="n">
        <v>0</v>
      </c>
      <c r="H92" s="316" t="n">
        <v>3</v>
      </c>
      <c r="I92" s="316" t="n">
        <v>10</v>
      </c>
      <c r="J92" s="318" t="n">
        <v>0</v>
      </c>
      <c r="K92" s="318">
        <f>G92*J92</f>
        <v/>
      </c>
      <c r="L92" s="288">
        <f>IF(G92&lt;=0,"CRÍTICO",IF(G92&lt;H92,"CRÍTICO",IF(G92=H92,"STOCK BAJO","")))</f>
        <v/>
      </c>
    </row>
  </sheetData>
  <mergeCells count="1">
    <mergeCell ref="A1:L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E65100"/>
    <outlinePr summaryBelow="1" summaryRight="1"/>
    <pageSetUpPr/>
  </sheetPr>
  <dimension ref="A1:M10"/>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9" customWidth="1" min="3" max="3"/>
    <col width="12" customWidth="1" min="4" max="4"/>
    <col width="16" customWidth="1" min="5" max="5"/>
    <col width="35" customWidth="1" min="6" max="6"/>
    <col width="16" customWidth="1" min="7" max="7"/>
    <col width="35" customWidth="1" min="8" max="8"/>
    <col width="14" customWidth="1" min="9" max="9"/>
    <col width="16" customWidth="1" min="10" max="10"/>
    <col width="9" customWidth="1" min="11" max="11"/>
    <col width="12" customWidth="1" min="12" max="12"/>
    <col width="20" customWidth="1" min="13" max="13"/>
  </cols>
  <sheetData>
    <row r="1" ht="28" customHeight="1">
      <c r="A1" s="108" t="inlineStr">
        <is>
          <t>🤖  PITBOT — CONVERSACIONES &amp; MÉTRICAS IA</t>
        </is>
      </c>
    </row>
    <row r="2" ht="22" customHeight="1">
      <c r="A2" s="199" t="inlineStr">
        <is>
          <t>ID Conv.</t>
        </is>
      </c>
      <c r="B2" s="199" t="inlineStr">
        <is>
          <t>Fecha</t>
        </is>
      </c>
      <c r="C2" s="199" t="inlineStr">
        <is>
          <t>Hora</t>
        </is>
      </c>
      <c r="D2" s="199" t="inlineStr">
        <is>
          <t>Canal</t>
        </is>
      </c>
      <c r="E2" s="199" t="inlineStr">
        <is>
          <t>Teléfono/User</t>
        </is>
      </c>
      <c r="F2" s="199" t="inlineStr">
        <is>
          <t>Pregunta (resumen)</t>
        </is>
      </c>
      <c r="G2" s="199" t="inlineStr">
        <is>
          <t>Categoría</t>
        </is>
      </c>
      <c r="H2" s="199" t="inlineStr">
        <is>
          <t>Respuesta Enviada</t>
        </is>
      </c>
      <c r="I2" s="199" t="inlineStr">
        <is>
          <t>Tiempo Resp.(min)</t>
        </is>
      </c>
      <c r="J2" s="199" t="inlineStr">
        <is>
          <t>Resultado</t>
        </is>
      </c>
      <c r="K2" s="199" t="inlineStr">
        <is>
          <t>Venta ID</t>
        </is>
      </c>
      <c r="L2" s="199" t="inlineStr">
        <is>
          <t>Satisfacción</t>
        </is>
      </c>
      <c r="M2" s="199" t="inlineStr">
        <is>
          <t>Notas</t>
        </is>
      </c>
    </row>
    <row r="3" ht="28" customHeight="1">
      <c r="A3" s="49" t="n">
        <v>1</v>
      </c>
      <c r="B3" s="50" t="inlineStr">
        <is>
          <t>2025-05-10</t>
        </is>
      </c>
      <c r="C3" s="49" t="inlineStr">
        <is>
          <t>09:15</t>
        </is>
      </c>
      <c r="D3" s="49" t="inlineStr">
        <is>
          <t>WhatsApp</t>
        </is>
      </c>
      <c r="E3" s="49" t="inlineStr">
        <is>
          <t>099111111</t>
        </is>
      </c>
      <c r="F3" s="110" t="inlineStr">
        <is>
          <t>¿Tienen alerón del Ferrari SF-24?</t>
        </is>
      </c>
      <c r="G3" s="69" t="inlineStr">
        <is>
          <t>Producto</t>
        </is>
      </c>
      <c r="H3" s="110" t="inlineStr">
        <is>
          <t>Sí! Tenemos varios modelos. ¿Escala 1:18 o 1:43?</t>
        </is>
      </c>
      <c r="I3" s="49" t="n">
        <v>2</v>
      </c>
      <c r="J3" s="52" t="inlineStr">
        <is>
          <t>Venta</t>
        </is>
      </c>
      <c r="K3" s="49" t="n">
        <v>1</v>
      </c>
      <c r="L3" s="49" t="inlineStr">
        <is>
          <t>5</t>
        </is>
      </c>
      <c r="M3" s="110" t="inlineStr">
        <is>
          <t>Cliente VIP</t>
        </is>
      </c>
    </row>
    <row r="4" ht="28" customHeight="1">
      <c r="A4" s="55" t="n">
        <v>2</v>
      </c>
      <c r="B4" s="56" t="inlineStr">
        <is>
          <t>2025-05-10</t>
        </is>
      </c>
      <c r="C4" s="55" t="inlineStr">
        <is>
          <t>10:30</t>
        </is>
      </c>
      <c r="D4" s="55" t="inlineStr">
        <is>
          <t>Instagram</t>
        </is>
      </c>
      <c r="E4" s="55" t="inlineStr">
        <is>
          <t>@usuario2</t>
        </is>
      </c>
      <c r="F4" s="111" t="inlineStr">
        <is>
          <t>¿Cuánto tarda la entrega?</t>
        </is>
      </c>
      <c r="G4" s="73" t="inlineStr">
        <is>
          <t>Soporte</t>
        </is>
      </c>
      <c r="H4" s="111" t="inlineStr">
        <is>
          <t>Entregamos en 3-5 días hábiles por DAC o OCA.</t>
        </is>
      </c>
      <c r="I4" s="55" t="n">
        <v>1</v>
      </c>
      <c r="J4" s="103" t="inlineStr">
        <is>
          <t>Resuelto</t>
        </is>
      </c>
      <c r="K4" s="55" t="inlineStr"/>
      <c r="L4" s="55" t="inlineStr">
        <is>
          <t>4</t>
        </is>
      </c>
      <c r="M4" s="111" t="inlineStr"/>
    </row>
    <row r="5" ht="28" customHeight="1">
      <c r="A5" s="49" t="n">
        <v>3</v>
      </c>
      <c r="B5" s="50" t="inlineStr">
        <is>
          <t>2025-05-11</t>
        </is>
      </c>
      <c r="C5" s="49" t="inlineStr">
        <is>
          <t>11:00</t>
        </is>
      </c>
      <c r="D5" s="49" t="inlineStr">
        <is>
          <t>WhatsApp</t>
        </is>
      </c>
      <c r="E5" s="49" t="inlineStr">
        <is>
          <t>098222222</t>
        </is>
      </c>
      <c r="F5" s="110" t="inlineStr">
        <is>
          <t>¿Hacen diseños personalizados de equipo?</t>
        </is>
      </c>
      <c r="G5" s="65" t="inlineStr">
        <is>
          <t>Personalizado</t>
        </is>
      </c>
      <c r="H5" s="110" t="inlineStr">
        <is>
          <t>¡Por supuesto! Mandame el logo y te hacemos presupuesto.</t>
        </is>
      </c>
      <c r="I5" s="49" t="n">
        <v>3</v>
      </c>
      <c r="J5" s="60" t="inlineStr">
        <is>
          <t>Derivado humano</t>
        </is>
      </c>
      <c r="K5" s="49" t="inlineStr"/>
      <c r="L5" s="49" t="inlineStr">
        <is>
          <t>5</t>
        </is>
      </c>
      <c r="M5" s="110" t="inlineStr">
        <is>
          <t>Empresa grande</t>
        </is>
      </c>
    </row>
    <row r="6" ht="28" customHeight="1">
      <c r="A6" s="55" t="n">
        <v>4</v>
      </c>
      <c r="B6" s="56" t="inlineStr">
        <is>
          <t>2025-05-12</t>
        </is>
      </c>
      <c r="C6" s="55" t="inlineStr">
        <is>
          <t>14:20</t>
        </is>
      </c>
      <c r="D6" s="55" t="inlineStr">
        <is>
          <t>Facebook</t>
        </is>
      </c>
      <c r="E6" s="55" t="inlineStr">
        <is>
          <t>@usuario4</t>
        </is>
      </c>
      <c r="F6" s="111" t="inlineStr">
        <is>
          <t>¿Tienen stock del circuito Interlagos?</t>
        </is>
      </c>
      <c r="G6" s="69" t="inlineStr">
        <is>
          <t>Producto</t>
        </is>
      </c>
      <c r="H6" s="111" t="inlineStr">
        <is>
          <t>Actualmente no tenemos stock. ¿Te aviso cuando llegue?</t>
        </is>
      </c>
      <c r="I6" s="55" t="n">
        <v>2</v>
      </c>
      <c r="J6" s="103" t="inlineStr">
        <is>
          <t>Resuelto</t>
        </is>
      </c>
      <c r="K6" s="55" t="inlineStr"/>
      <c r="L6" s="55" t="inlineStr">
        <is>
          <t>4</t>
        </is>
      </c>
      <c r="M6" s="111" t="inlineStr"/>
    </row>
    <row r="7" ht="28" customHeight="1">
      <c r="A7" s="49" t="n">
        <v>5</v>
      </c>
      <c r="B7" s="50" t="inlineStr">
        <is>
          <t>2025-05-13</t>
        </is>
      </c>
      <c r="C7" s="49" t="inlineStr">
        <is>
          <t>16:45</t>
        </is>
      </c>
      <c r="D7" s="49" t="inlineStr">
        <is>
          <t>WhatsApp</t>
        </is>
      </c>
      <c r="E7" s="49" t="inlineStr">
        <is>
          <t>097333333</t>
        </is>
      </c>
      <c r="F7" s="110" t="inlineStr">
        <is>
          <t>¿Cómo pago? ¿Aceptan tarjeta?</t>
        </is>
      </c>
      <c r="G7" s="77" t="inlineStr">
        <is>
          <t>Precio</t>
        </is>
      </c>
      <c r="H7" s="110" t="inlineStr">
        <is>
          <t>Aceptamos MP, transferencia, efectivo y tarjeta.</t>
        </is>
      </c>
      <c r="I7" s="49" t="n">
        <v>1</v>
      </c>
      <c r="J7" s="103" t="inlineStr">
        <is>
          <t>Resuelto</t>
        </is>
      </c>
      <c r="K7" s="49" t="inlineStr"/>
      <c r="L7" s="49" t="inlineStr">
        <is>
          <t>5</t>
        </is>
      </c>
      <c r="M7" s="110" t="inlineStr"/>
    </row>
    <row r="8" ht="28" customHeight="1">
      <c r="A8" s="55" t="n">
        <v>6</v>
      </c>
      <c r="B8" s="56" t="inlineStr">
        <is>
          <t>2025-05-14</t>
        </is>
      </c>
      <c r="C8" s="55" t="inlineStr">
        <is>
          <t>09:00</t>
        </is>
      </c>
      <c r="D8" s="55" t="inlineStr">
        <is>
          <t>Instagram</t>
        </is>
      </c>
      <c r="E8" s="55" t="inlineStr">
        <is>
          <t>@usuario6</t>
        </is>
      </c>
      <c r="F8" s="111" t="inlineStr">
        <is>
          <t>¿Cuánto sale el neón de Red Bull?</t>
        </is>
      </c>
      <c r="G8" s="77" t="inlineStr">
        <is>
          <t>Precio</t>
        </is>
      </c>
      <c r="H8" s="111" t="inlineStr">
        <is>
          <t>El neón Red Bull sale $3200. ¿Te mando foto?</t>
        </is>
      </c>
      <c r="I8" s="55" t="n">
        <v>2</v>
      </c>
      <c r="J8" s="52" t="inlineStr">
        <is>
          <t>Venta</t>
        </is>
      </c>
      <c r="K8" s="55" t="n">
        <v>10</v>
      </c>
      <c r="L8" s="55" t="inlineStr">
        <is>
          <t>5</t>
        </is>
      </c>
      <c r="M8" s="111" t="inlineStr"/>
    </row>
    <row r="9" ht="28" customHeight="1">
      <c r="A9" s="49" t="n">
        <v>7</v>
      </c>
      <c r="B9" s="50" t="inlineStr">
        <is>
          <t>2025-05-15</t>
        </is>
      </c>
      <c r="C9" s="49" t="inlineStr">
        <is>
          <t>11:30</t>
        </is>
      </c>
      <c r="D9" s="49" t="inlineStr">
        <is>
          <t>WhatsApp</t>
        </is>
      </c>
      <c r="E9" s="49" t="inlineStr">
        <is>
          <t>096444444</t>
        </is>
      </c>
      <c r="F9" s="110" t="inlineStr">
        <is>
          <t>¿Envían a Rivera?</t>
        </is>
      </c>
      <c r="G9" s="73" t="inlineStr">
        <is>
          <t>Soporte</t>
        </is>
      </c>
      <c r="H9" s="110" t="inlineStr">
        <is>
          <t>Sí! Enviamos a todo Uruguay por OCA o DAC.</t>
        </is>
      </c>
      <c r="I9" s="49" t="n">
        <v>1</v>
      </c>
      <c r="J9" s="103" t="inlineStr">
        <is>
          <t>Resuelto</t>
        </is>
      </c>
      <c r="K9" s="49" t="inlineStr"/>
      <c r="L9" s="49" t="inlineStr">
        <is>
          <t>5</t>
        </is>
      </c>
      <c r="M9" s="110" t="inlineStr"/>
    </row>
    <row r="10" ht="28" customHeight="1">
      <c r="A10" s="55" t="n">
        <v>8</v>
      </c>
      <c r="B10" s="56" t="inlineStr">
        <is>
          <t>2025-05-16</t>
        </is>
      </c>
      <c r="C10" s="55" t="inlineStr">
        <is>
          <t>15:00</t>
        </is>
      </c>
      <c r="D10" s="55" t="inlineStr">
        <is>
          <t>WhatsApp</t>
        </is>
      </c>
      <c r="E10" s="55" t="inlineStr">
        <is>
          <t>095555555</t>
        </is>
      </c>
      <c r="F10" s="111" t="inlineStr">
        <is>
          <t>Mi pedido no llegó</t>
        </is>
      </c>
      <c r="G10" s="73" t="inlineStr">
        <is>
          <t>Soporte</t>
        </is>
      </c>
      <c r="H10" s="111" t="inlineStr">
        <is>
          <t>Disculpá! Te paso el número de seguimiento ahora.</t>
        </is>
      </c>
      <c r="I10" s="55" t="n">
        <v>5</v>
      </c>
      <c r="J10" s="60" t="inlineStr">
        <is>
          <t>Derivado humano</t>
        </is>
      </c>
      <c r="K10" s="55" t="inlineStr"/>
      <c r="L10" s="55" t="inlineStr">
        <is>
          <t>3</t>
        </is>
      </c>
      <c r="M10" s="111" t="inlineStr">
        <is>
          <t>Pedido demorado</t>
        </is>
      </c>
    </row>
  </sheetData>
  <mergeCells count="1">
    <mergeCell ref="A1:M1"/>
  </mergeCells>
  <dataValidations count="4">
    <dataValidation sqref="D3:D100000" showDropDown="0" showInputMessage="0" showErrorMessage="0" allowBlank="1" type="list">
      <formula1>"WhatsApp,Instagram,Facebook,WooCommerce,Email,Otro"</formula1>
    </dataValidation>
    <dataValidation sqref="G3:G100000" showDropDown="0" showInputMessage="0" showErrorMessage="0" allowBlank="1" type="list">
      <formula1>"Producto,Precio,Estado pedido,Personalizado,Soporte,Otro"</formula1>
    </dataValidation>
    <dataValidation sqref="J3:J100000" showDropDown="0" showInputMessage="0" showErrorMessage="0" allowBlank="1" type="list">
      <formula1>"Resuelto,Venta,Derivado humano,Sin respuesta"</formula1>
    </dataValidation>
    <dataValidation sqref="L3:L100000" showDropDown="0" showInputMessage="0" showErrorMessage="0" allowBlank="1" type="list">
      <formula1>"1,2,3,4,5"</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37474F"/>
    <outlinePr summaryBelow="1" summaryRight="1"/>
    <pageSetUpPr/>
  </sheetPr>
  <dimension ref="A1:F11"/>
  <sheetViews>
    <sheetView showGridLines="0" workbookViewId="0">
      <selection activeCell="A1" sqref="A1"/>
    </sheetView>
  </sheetViews>
  <sheetFormatPr baseColWidth="8" defaultRowHeight="15"/>
  <cols>
    <col width="35" customWidth="1" min="1" max="1"/>
    <col width="14" customWidth="1" min="2" max="2"/>
    <col width="14" customWidth="1" min="3" max="3"/>
    <col width="18" customWidth="1" min="4" max="4"/>
    <col width="30" customWidth="1" min="5" max="5"/>
  </cols>
  <sheetData>
    <row r="1" ht="28" customHeight="1">
      <c r="A1" s="112" t="inlineStr">
        <is>
          <t>🔽  EMBUDO COMERCIAL — CONVERSIONES AUTOMÁTICAS</t>
        </is>
      </c>
    </row>
    <row r="2">
      <c r="A2" s="113" t="inlineStr">
        <is>
          <t>MÉTRICAS DEL EMBUDO — datos calculados desde hojas 04, 05, 06</t>
        </is>
      </c>
    </row>
    <row r="3">
      <c r="A3" s="114" t="inlineStr">
        <is>
          <t>Etapa</t>
        </is>
      </c>
      <c r="B3" s="114" t="inlineStr">
        <is>
          <t>Cantidad</t>
        </is>
      </c>
      <c r="C3" s="114" t="inlineStr">
        <is>
          <t>% del Total</t>
        </is>
      </c>
      <c r="D3" s="114" t="inlineStr">
        <is>
          <t>Conv. → Siguiente</t>
        </is>
      </c>
      <c r="E3" s="114" t="inlineStr">
        <is>
          <t>Observación</t>
        </is>
      </c>
    </row>
    <row r="4" ht="28" customHeight="1">
      <c r="A4" s="115" t="inlineStr">
        <is>
          <t>🔵 CONSULTAS (Leads totales)</t>
        </is>
      </c>
      <c r="B4" s="116">
        <f>COUNTA(TBL_Leads[ID Lead])</f>
        <v/>
      </c>
      <c r="C4" s="117">
        <f>B4/B4</f>
        <v/>
      </c>
      <c r="D4" s="117">
        <f>B5/B4</f>
        <v/>
      </c>
      <c r="E4" s="118" t="inlineStr">
        <is>
          <t>Todos los leads registrados</t>
        </is>
      </c>
    </row>
    <row r="5" ht="28" customHeight="1">
      <c r="A5" s="119" t="inlineStr">
        <is>
          <t>🟡 CONTACTADOS</t>
        </is>
      </c>
      <c r="B5" s="120">
        <f>COUNTIF(TBL_Leads[Estado],"Contactado")+COUNTIF(TBL_Leads[Estado],"Presupuestado")+COUNTIF(TBL_Leads[Estado],"En negociación")+COUNTIF(TBL_Leads[Estado],"Ganado")</f>
        <v/>
      </c>
      <c r="C5" s="121">
        <f>B5/B4</f>
        <v/>
      </c>
      <c r="D5" s="121">
        <f>B6/B5</f>
        <v/>
      </c>
      <c r="E5" s="122" t="inlineStr">
        <is>
          <t>Respondidos</t>
        </is>
      </c>
    </row>
    <row r="6" ht="28" customHeight="1">
      <c r="A6" s="123" t="inlineStr">
        <is>
          <t>🟠 PRESUPUESTADOS</t>
        </is>
      </c>
      <c r="B6" s="124">
        <f>COUNTA(TBL_Cotizaciones[ID Cotización])</f>
        <v/>
      </c>
      <c r="C6" s="125">
        <f>B6/B4</f>
        <v/>
      </c>
      <c r="D6" s="125">
        <f>B7/B6</f>
        <v/>
      </c>
      <c r="E6" s="126" t="inlineStr">
        <is>
          <t>Cotizaciones enviadas</t>
        </is>
      </c>
    </row>
    <row r="7" ht="28" customHeight="1">
      <c r="A7" s="127" t="inlineStr">
        <is>
          <t>🟢 VENTAS CERRADAS</t>
        </is>
      </c>
      <c r="B7" s="128">
        <f>COUNTA(TBL_Ventas[ID Venta])</f>
        <v/>
      </c>
      <c r="C7" s="129">
        <f>B7/B4</f>
        <v/>
      </c>
      <c r="D7" s="129">
        <f>B8/B7</f>
        <v/>
      </c>
      <c r="E7" s="130" t="inlineStr">
        <is>
          <t>Ventas confirmadas</t>
        </is>
      </c>
    </row>
    <row r="8" ht="28" customHeight="1">
      <c r="A8" s="131" t="inlineStr">
        <is>
          <t>⭐ CLIENTES RECURRENTES</t>
        </is>
      </c>
      <c r="B8" s="132">
        <f>COUNTIF(TBL_Clientes[Segmento],"VIP")+COUNTIF(TBL_Clientes[Segmento],"Frecuente")</f>
        <v/>
      </c>
      <c r="C8" s="133">
        <f>B8/B7</f>
        <v/>
      </c>
      <c r="D8" s="134" t="inlineStr">
        <is>
          <t>—</t>
        </is>
      </c>
      <c r="E8" s="135" t="inlineStr">
        <is>
          <t>VIP + Frecuentes</t>
        </is>
      </c>
    </row>
    <row r="10" ht="22" customHeight="1">
      <c r="A10" s="136" t="inlineStr">
        <is>
          <t>▶  RESUMEN FINANCIERO DEL EMBUDO</t>
        </is>
      </c>
      <c r="B10" s="40" t="n"/>
      <c r="C10" s="40" t="n"/>
      <c r="D10" s="40" t="n"/>
      <c r="E10" s="41" t="n"/>
    </row>
    <row r="11" ht="30" customHeight="1">
      <c r="A11" s="137">
        <f>" Facturación total: $"&amp;TEXT(SUM(TBL_Ventas[Facturación]),"#,##0")&amp;" | Ganancia total: $"&amp;TEXT(SUM(TBL_Ventas[Ganancia]),"#,##0")&amp;" | Ticket prom.: $"&amp;TEXT(AVERAGE(TBL_Ventas[Facturación]),"#,##0")</f>
        <v/>
      </c>
    </row>
  </sheetData>
  <mergeCells count="4">
    <mergeCell ref="A2:E2"/>
    <mergeCell ref="A11:E11"/>
    <mergeCell ref="A10:E10"/>
    <mergeCell ref="A1:F1"/>
  </mergeCells>
  <pageMargins left="0.75" right="0.75" top="1" bottom="1" header="0.5" footer="0.5"/>
</worksheet>
</file>

<file path=xl/worksheets/sheet14.xml><?xml version="1.0" encoding="utf-8"?>
<worksheet xmlns="http://schemas.openxmlformats.org/spreadsheetml/2006/main">
  <sheetPr>
    <tabColor rgb="001A237E"/>
    <outlinePr summaryBelow="1" summaryRight="1"/>
    <pageSetUpPr/>
  </sheetPr>
  <dimension ref="A1:N30"/>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3" customWidth="1" min="14" max="14"/>
  </cols>
  <sheetData>
    <row r="1" ht="28" customHeight="1">
      <c r="A1" s="138" t="inlineStr">
        <is>
          <t>📊  ESTADO DE RESULTADOS — P&amp;L MENSUAL</t>
        </is>
      </c>
    </row>
    <row r="2" ht="20" customHeight="1">
      <c r="A2" s="139" t="inlineStr">
        <is>
          <t>CONCEPTO</t>
        </is>
      </c>
      <c r="B2" s="140" t="inlineStr">
        <is>
          <t>Ene</t>
        </is>
      </c>
      <c r="C2" s="140" t="inlineStr">
        <is>
          <t>Feb</t>
        </is>
      </c>
      <c r="D2" s="140" t="inlineStr">
        <is>
          <t>Mar</t>
        </is>
      </c>
      <c r="E2" s="140" t="inlineStr">
        <is>
          <t>Abr</t>
        </is>
      </c>
      <c r="F2" s="140" t="inlineStr">
        <is>
          <t>May</t>
        </is>
      </c>
      <c r="G2" s="140" t="inlineStr">
        <is>
          <t>Jun</t>
        </is>
      </c>
      <c r="H2" s="140" t="inlineStr">
        <is>
          <t>Jul</t>
        </is>
      </c>
      <c r="I2" s="140" t="inlineStr">
        <is>
          <t>Ago</t>
        </is>
      </c>
      <c r="J2" s="140" t="inlineStr">
        <is>
          <t>Sep</t>
        </is>
      </c>
      <c r="K2" s="140" t="inlineStr">
        <is>
          <t>Oct</t>
        </is>
      </c>
      <c r="L2" s="140" t="inlineStr">
        <is>
          <t>Nov</t>
        </is>
      </c>
      <c r="M2" s="140" t="inlineStr">
        <is>
          <t>Dic</t>
        </is>
      </c>
      <c r="N2" s="141" t="inlineStr">
        <is>
          <t>TOTAL</t>
        </is>
      </c>
    </row>
    <row r="3" ht="20" customHeight="1">
      <c r="A3" s="142" t="inlineStr">
        <is>
          <t>INGRESOS</t>
        </is>
      </c>
      <c r="B3" s="40" t="n"/>
      <c r="C3" s="40" t="n"/>
      <c r="D3" s="40" t="n"/>
      <c r="E3" s="40" t="n"/>
      <c r="F3" s="40" t="n"/>
      <c r="G3" s="40" t="n"/>
      <c r="H3" s="40" t="n"/>
      <c r="I3" s="40" t="n"/>
      <c r="J3" s="40" t="n"/>
      <c r="K3" s="40" t="n"/>
      <c r="L3" s="40" t="n"/>
      <c r="M3" s="40" t="n"/>
      <c r="N3" s="41" t="n"/>
    </row>
    <row r="4" ht="18" customHeight="1">
      <c r="A4" s="143" t="inlineStr">
        <is>
          <t xml:space="preserve">  (+) Ventas brutas</t>
        </is>
      </c>
      <c r="B4" s="144" t="inlineStr"/>
      <c r="C4" s="144" t="inlineStr"/>
      <c r="D4" s="144" t="inlineStr"/>
      <c r="E4" s="144" t="inlineStr"/>
      <c r="F4" s="144" t="n">
        <v>10120</v>
      </c>
      <c r="G4" s="144" t="inlineStr"/>
      <c r="H4" s="144" t="inlineStr"/>
      <c r="I4" s="144" t="inlineStr"/>
      <c r="J4" s="144" t="inlineStr"/>
      <c r="K4" s="144" t="inlineStr"/>
      <c r="L4" s="144" t="inlineStr"/>
      <c r="M4" s="144" t="inlineStr"/>
      <c r="N4" s="145">
        <f>SUM(B4:M4)</f>
        <v/>
      </c>
    </row>
    <row r="5" ht="18" customHeight="1">
      <c r="A5" s="143" t="inlineStr">
        <is>
          <t xml:space="preserve">  (-) Descuentos</t>
        </is>
      </c>
      <c r="B5" s="144" t="inlineStr"/>
      <c r="C5" s="144" t="inlineStr"/>
      <c r="D5" s="144" t="inlineStr"/>
      <c r="E5" s="144" t="inlineStr"/>
      <c r="F5" s="144" t="n">
        <v>150</v>
      </c>
      <c r="G5" s="144" t="inlineStr"/>
      <c r="H5" s="144" t="inlineStr"/>
      <c r="I5" s="144" t="inlineStr"/>
      <c r="J5" s="144" t="inlineStr"/>
      <c r="K5" s="144" t="inlineStr"/>
      <c r="L5" s="144" t="inlineStr"/>
      <c r="M5" s="144" t="inlineStr"/>
      <c r="N5" s="145">
        <f>SUM(B5:M5)</f>
        <v/>
      </c>
    </row>
    <row r="6" ht="18" customHeight="1">
      <c r="A6" s="146" t="inlineStr">
        <is>
          <t>(=) Facturación neta</t>
        </is>
      </c>
      <c r="B6" s="147">
        <f>B4-B5</f>
        <v/>
      </c>
      <c r="C6" s="147">
        <f>C4-C5</f>
        <v/>
      </c>
      <c r="D6" s="147">
        <f>D4-D5</f>
        <v/>
      </c>
      <c r="E6" s="147">
        <f>E4-E5</f>
        <v/>
      </c>
      <c r="F6" s="147">
        <f>F4-F5</f>
        <v/>
      </c>
      <c r="G6" s="147">
        <f>G4-G5</f>
        <v/>
      </c>
      <c r="H6" s="147">
        <f>H4-H5</f>
        <v/>
      </c>
      <c r="I6" s="147">
        <f>I4-I5</f>
        <v/>
      </c>
      <c r="J6" s="147">
        <f>J4-J5</f>
        <v/>
      </c>
      <c r="K6" s="147">
        <f>K4-K5</f>
        <v/>
      </c>
      <c r="L6" s="147">
        <f>L4-L5</f>
        <v/>
      </c>
      <c r="M6" s="147">
        <f>M4-M5</f>
        <v/>
      </c>
      <c r="N6" s="147">
        <f>N4-N5</f>
        <v/>
      </c>
    </row>
    <row r="7" ht="8" customHeight="1"/>
    <row r="8" ht="20" customHeight="1">
      <c r="A8" s="142" t="inlineStr">
        <is>
          <t>COSTOS DE VENTAS</t>
        </is>
      </c>
      <c r="B8" s="40" t="n"/>
      <c r="C8" s="40" t="n"/>
      <c r="D8" s="40" t="n"/>
      <c r="E8" s="40" t="n"/>
      <c r="F8" s="40" t="n"/>
      <c r="G8" s="40" t="n"/>
      <c r="H8" s="40" t="n"/>
      <c r="I8" s="40" t="n"/>
      <c r="J8" s="40" t="n"/>
      <c r="K8" s="40" t="n"/>
      <c r="L8" s="40" t="n"/>
      <c r="M8" s="40" t="n"/>
      <c r="N8" s="41" t="n"/>
    </row>
    <row r="9" ht="18" customHeight="1">
      <c r="A9" s="148" t="inlineStr">
        <is>
          <t xml:space="preserve">  (-) Costo de productos</t>
        </is>
      </c>
      <c r="B9" s="149" t="inlineStr"/>
      <c r="C9" s="149" t="inlineStr"/>
      <c r="D9" s="149" t="inlineStr"/>
      <c r="E9" s="149" t="inlineStr"/>
      <c r="F9" s="149" t="n">
        <v>6821</v>
      </c>
      <c r="G9" s="149" t="inlineStr"/>
      <c r="H9" s="149" t="inlineStr"/>
      <c r="I9" s="149" t="inlineStr"/>
      <c r="J9" s="149" t="inlineStr"/>
      <c r="K9" s="149" t="inlineStr"/>
      <c r="L9" s="149" t="inlineStr"/>
      <c r="M9" s="149" t="inlineStr"/>
      <c r="N9" s="150">
        <f>SUM(B9:M9)</f>
        <v/>
      </c>
    </row>
    <row r="10" ht="18" customHeight="1">
      <c r="A10" s="148" t="inlineStr">
        <is>
          <t xml:space="preserve">  (-) Comisiones plataformas</t>
        </is>
      </c>
      <c r="B10" s="149" t="inlineStr"/>
      <c r="C10" s="149" t="inlineStr"/>
      <c r="D10" s="149" t="inlineStr"/>
      <c r="E10" s="149" t="inlineStr"/>
      <c r="F10" s="149" t="n">
        <v>353</v>
      </c>
      <c r="G10" s="149" t="inlineStr"/>
      <c r="H10" s="149" t="inlineStr"/>
      <c r="I10" s="149" t="inlineStr"/>
      <c r="J10" s="149" t="inlineStr"/>
      <c r="K10" s="149" t="inlineStr"/>
      <c r="L10" s="149" t="inlineStr"/>
      <c r="M10" s="149" t="inlineStr"/>
      <c r="N10" s="150">
        <f>SUM(B10:M10)</f>
        <v/>
      </c>
    </row>
    <row r="11" ht="18" customHeight="1">
      <c r="A11" s="148" t="inlineStr">
        <is>
          <t xml:space="preserve">  (-) Envíos</t>
        </is>
      </c>
      <c r="B11" s="149" t="inlineStr"/>
      <c r="C11" s="149" t="inlineStr"/>
      <c r="D11" s="149" t="inlineStr"/>
      <c r="E11" s="149" t="inlineStr"/>
      <c r="F11" s="149" t="n">
        <v>840</v>
      </c>
      <c r="G11" s="149" t="inlineStr"/>
      <c r="H11" s="149" t="inlineStr"/>
      <c r="I11" s="149" t="inlineStr"/>
      <c r="J11" s="149" t="inlineStr"/>
      <c r="K11" s="149" t="inlineStr"/>
      <c r="L11" s="149" t="inlineStr"/>
      <c r="M11" s="149" t="inlineStr"/>
      <c r="N11" s="150">
        <f>SUM(B11:M11)</f>
        <v/>
      </c>
    </row>
    <row r="12" ht="18" customHeight="1">
      <c r="A12" s="151" t="inlineStr">
        <is>
          <t>(=) MARGEN BRUTO</t>
        </is>
      </c>
      <c r="B12" s="277">
        <f>B6-B9-B10-B11</f>
        <v/>
      </c>
      <c r="C12" s="277">
        <f>C6-C9-C10-C11</f>
        <v/>
      </c>
      <c r="D12" s="277">
        <f>D6-D9-D10-D11</f>
        <v/>
      </c>
      <c r="E12" s="277">
        <f>E6-E9-E10-E11</f>
        <v/>
      </c>
      <c r="F12" s="277">
        <f>F6-F9-F10-F11</f>
        <v/>
      </c>
      <c r="G12" s="277">
        <f>G6-G9-G10-G11</f>
        <v/>
      </c>
      <c r="H12" s="277">
        <f>H6-H9-H10-H11</f>
        <v/>
      </c>
      <c r="I12" s="277">
        <f>I6-I9-I10-I11</f>
        <v/>
      </c>
      <c r="J12" s="277">
        <f>J6-J9-J10-J11</f>
        <v/>
      </c>
      <c r="K12" s="277">
        <f>K6-K9-K10-K11</f>
        <v/>
      </c>
      <c r="L12" s="277">
        <f>L6-L9-L10-L11</f>
        <v/>
      </c>
      <c r="M12" s="277">
        <f>M6-M9-M10-M11</f>
        <v/>
      </c>
      <c r="N12" s="277">
        <f>N6-N9-N10-N11</f>
        <v/>
      </c>
    </row>
    <row r="13" ht="18" customHeight="1">
      <c r="A13" s="153" t="inlineStr">
        <is>
          <t>MARGEN BRUTO %</t>
        </is>
      </c>
      <c r="B13" s="154">
        <f>IF(B6&gt;0,B12/B6*100,0)</f>
        <v/>
      </c>
      <c r="C13" s="154">
        <f>IF(C6&gt;0,C12/C6*100,0)</f>
        <v/>
      </c>
      <c r="D13" s="154">
        <f>IF(D6&gt;0,D12/D6*100,0)</f>
        <v/>
      </c>
      <c r="E13" s="154">
        <f>IF(E6&gt;0,E12/E6*100,0)</f>
        <v/>
      </c>
      <c r="F13" s="154">
        <f>IF(F6&gt;0,F12/F6*100,0)</f>
        <v/>
      </c>
      <c r="G13" s="154">
        <f>IF(G6&gt;0,G12/G6*100,0)</f>
        <v/>
      </c>
      <c r="H13" s="154">
        <f>IF(H6&gt;0,H12/H6*100,0)</f>
        <v/>
      </c>
      <c r="I13" s="154">
        <f>IF(I6&gt;0,I12/I6*100,0)</f>
        <v/>
      </c>
      <c r="J13" s="154">
        <f>IF(J6&gt;0,J12/J6*100,0)</f>
        <v/>
      </c>
      <c r="K13" s="154">
        <f>IF(K6&gt;0,K12/K6*100,0)</f>
        <v/>
      </c>
      <c r="L13" s="154">
        <f>IF(L6&gt;0,L12/L6*100,0)</f>
        <v/>
      </c>
      <c r="M13" s="154">
        <f>IF(M6&gt;0,M12/M6*100,0)</f>
        <v/>
      </c>
      <c r="N13" s="154">
        <f>IF(N6&gt;0,N12/N6*100,0)</f>
        <v/>
      </c>
    </row>
    <row r="14" ht="8" customHeight="1"/>
    <row r="15" ht="20" customHeight="1">
      <c r="A15" s="142" t="inlineStr">
        <is>
          <t>GASTOS OPERATIVOS</t>
        </is>
      </c>
      <c r="B15" s="40" t="n"/>
      <c r="C15" s="40" t="n"/>
      <c r="D15" s="40" t="n"/>
      <c r="E15" s="40" t="n"/>
      <c r="F15" s="40" t="n"/>
      <c r="G15" s="40" t="n"/>
      <c r="H15" s="40" t="n"/>
      <c r="I15" s="40" t="n"/>
      <c r="J15" s="40" t="n"/>
      <c r="K15" s="40" t="n"/>
      <c r="L15" s="40" t="n"/>
      <c r="M15" s="40" t="n"/>
      <c r="N15" s="41" t="n"/>
    </row>
    <row r="16" ht="18" customHeight="1">
      <c r="A16" s="155" t="inlineStr">
        <is>
          <t xml:space="preserve">  (-) Publicidad Meta/Google</t>
        </is>
      </c>
      <c r="B16" s="156" t="inlineStr"/>
      <c r="C16" s="156" t="inlineStr"/>
      <c r="D16" s="156" t="inlineStr"/>
      <c r="E16" s="156" t="inlineStr"/>
      <c r="F16" s="156" t="n">
        <v>4000</v>
      </c>
      <c r="G16" s="156" t="inlineStr"/>
      <c r="H16" s="156" t="inlineStr"/>
      <c r="I16" s="156" t="inlineStr"/>
      <c r="J16" s="156" t="inlineStr"/>
      <c r="K16" s="156" t="inlineStr"/>
      <c r="L16" s="156" t="inlineStr"/>
      <c r="M16" s="156" t="inlineStr"/>
      <c r="N16" s="157">
        <f>SUM(B16:M16)</f>
        <v/>
      </c>
    </row>
    <row r="17" ht="18" customHeight="1">
      <c r="A17" s="155" t="inlineStr">
        <is>
          <t xml:space="preserve">  (-) Software / SaaS</t>
        </is>
      </c>
      <c r="B17" s="156" t="inlineStr"/>
      <c r="C17" s="156" t="inlineStr"/>
      <c r="D17" s="156" t="inlineStr"/>
      <c r="E17" s="156" t="inlineStr"/>
      <c r="F17" s="156" t="n">
        <v>630</v>
      </c>
      <c r="G17" s="156" t="inlineStr"/>
      <c r="H17" s="156" t="inlineStr"/>
      <c r="I17" s="156" t="inlineStr"/>
      <c r="J17" s="156" t="inlineStr"/>
      <c r="K17" s="156" t="inlineStr"/>
      <c r="L17" s="156" t="inlineStr"/>
      <c r="M17" s="156" t="inlineStr"/>
      <c r="N17" s="157">
        <f>SUM(B17:M17)</f>
        <v/>
      </c>
    </row>
    <row r="18" ht="18" customHeight="1">
      <c r="A18" s="155" t="inlineStr">
        <is>
          <t xml:space="preserve">  (-) Electricidad</t>
        </is>
      </c>
      <c r="B18" s="156" t="inlineStr"/>
      <c r="C18" s="156" t="inlineStr"/>
      <c r="D18" s="156" t="inlineStr"/>
      <c r="E18" s="156" t="inlineStr"/>
      <c r="F18" s="156" t="n">
        <v>1200</v>
      </c>
      <c r="G18" s="156" t="inlineStr"/>
      <c r="H18" s="156" t="inlineStr"/>
      <c r="I18" s="156" t="inlineStr"/>
      <c r="J18" s="156" t="inlineStr"/>
      <c r="K18" s="156" t="inlineStr"/>
      <c r="L18" s="156" t="inlineStr"/>
      <c r="M18" s="156" t="inlineStr"/>
      <c r="N18" s="157">
        <f>SUM(B18:M18)</f>
        <v/>
      </c>
    </row>
    <row r="19" ht="18" customHeight="1">
      <c r="A19" s="155" t="inlineStr">
        <is>
          <t xml:space="preserve">  (-) Filamento / Materiales</t>
        </is>
      </c>
      <c r="B19" s="156" t="inlineStr"/>
      <c r="C19" s="156" t="inlineStr"/>
      <c r="D19" s="156" t="inlineStr"/>
      <c r="E19" s="156" t="inlineStr"/>
      <c r="F19" s="156" t="n">
        <v>2450</v>
      </c>
      <c r="G19" s="156" t="inlineStr"/>
      <c r="H19" s="156" t="inlineStr"/>
      <c r="I19" s="156" t="inlineStr"/>
      <c r="J19" s="156" t="inlineStr"/>
      <c r="K19" s="156" t="inlineStr"/>
      <c r="L19" s="156" t="inlineStr"/>
      <c r="M19" s="156" t="inlineStr"/>
      <c r="N19" s="157">
        <f>SUM(B19:M19)</f>
        <v/>
      </c>
    </row>
    <row r="20" ht="18" customHeight="1">
      <c r="A20" s="155" t="inlineStr">
        <is>
          <t xml:space="preserve">  (-) DTF / Sublimación</t>
        </is>
      </c>
      <c r="B20" s="156" t="inlineStr"/>
      <c r="C20" s="156" t="inlineStr"/>
      <c r="D20" s="156" t="inlineStr"/>
      <c r="E20" s="156" t="inlineStr"/>
      <c r="F20" s="156" t="n">
        <v>800</v>
      </c>
      <c r="G20" s="156" t="inlineStr"/>
      <c r="H20" s="156" t="inlineStr"/>
      <c r="I20" s="156" t="inlineStr"/>
      <c r="J20" s="156" t="inlineStr"/>
      <c r="K20" s="156" t="inlineStr"/>
      <c r="L20" s="156" t="inlineStr"/>
      <c r="M20" s="156" t="inlineStr"/>
      <c r="N20" s="157">
        <f>SUM(B20:M20)</f>
        <v/>
      </c>
    </row>
    <row r="21" ht="18" customHeight="1">
      <c r="A21" s="155" t="inlineStr">
        <is>
          <t xml:space="preserve">  (-) Packaging</t>
        </is>
      </c>
      <c r="B21" s="156" t="inlineStr"/>
      <c r="C21" s="156" t="inlineStr"/>
      <c r="D21" s="156" t="inlineStr"/>
      <c r="E21" s="156" t="inlineStr"/>
      <c r="F21" s="156" t="n">
        <v>650</v>
      </c>
      <c r="G21" s="156" t="inlineStr"/>
      <c r="H21" s="156" t="inlineStr"/>
      <c r="I21" s="156" t="inlineStr"/>
      <c r="J21" s="156" t="inlineStr"/>
      <c r="K21" s="156" t="inlineStr"/>
      <c r="L21" s="156" t="inlineStr"/>
      <c r="M21" s="156" t="inlineStr"/>
      <c r="N21" s="157">
        <f>SUM(B21:M21)</f>
        <v/>
      </c>
    </row>
    <row r="22" ht="18" customHeight="1">
      <c r="A22" s="155" t="inlineStr">
        <is>
          <t xml:space="preserve">  (-) Otros gastos</t>
        </is>
      </c>
      <c r="B22" s="156" t="inlineStr"/>
      <c r="C22" s="156" t="inlineStr"/>
      <c r="D22" s="156" t="inlineStr"/>
      <c r="E22" s="156" t="inlineStr"/>
      <c r="F22" s="156" t="n">
        <v>500</v>
      </c>
      <c r="G22" s="156" t="inlineStr"/>
      <c r="H22" s="156" t="inlineStr"/>
      <c r="I22" s="156" t="inlineStr"/>
      <c r="J22" s="156" t="inlineStr"/>
      <c r="K22" s="156" t="inlineStr"/>
      <c r="L22" s="156" t="inlineStr"/>
      <c r="M22" s="156" t="inlineStr"/>
      <c r="N22" s="157">
        <f>SUM(B22:M22)</f>
        <v/>
      </c>
    </row>
    <row r="23" ht="18" customHeight="1">
      <c r="A23" s="158" t="inlineStr">
        <is>
          <t>(=) TOTAL GASTOS OPERATIVOS</t>
        </is>
      </c>
      <c r="B23" s="159">
        <f>B16+B17+B18+B19+B20+B21+B22</f>
        <v/>
      </c>
      <c r="C23" s="159">
        <f>C16+C17+C18+C19+C20+C21+C22</f>
        <v/>
      </c>
      <c r="D23" s="159">
        <f>D16+D17+D18+D19+D20+D21+D22</f>
        <v/>
      </c>
      <c r="E23" s="159">
        <f>E16+E17+E18+E19+E20+E21+E22</f>
        <v/>
      </c>
      <c r="F23" s="159">
        <f>F16+F17+F18+F19+F20+F21+F22</f>
        <v/>
      </c>
      <c r="G23" s="159">
        <f>G16+G17+G18+G19+G20+G21+G22</f>
        <v/>
      </c>
      <c r="H23" s="159">
        <f>H16+H17+H18+H19+H20+H21+H22</f>
        <v/>
      </c>
      <c r="I23" s="159">
        <f>I16+I17+I18+I19+I20+I21+I22</f>
        <v/>
      </c>
      <c r="J23" s="159">
        <f>J16+J17+J18+J19+J20+J21+J22</f>
        <v/>
      </c>
      <c r="K23" s="159">
        <f>K16+K17+K18+K19+K20+K21+K22</f>
        <v/>
      </c>
      <c r="L23" s="159">
        <f>L16+L17+L18+L19+L20+L21+L22</f>
        <v/>
      </c>
      <c r="M23" s="159">
        <f>M16+M17+M18+M19+M20+M21+M22</f>
        <v/>
      </c>
      <c r="N23" s="159">
        <f>N16+N17+N18+N19+N20+N21+N22</f>
        <v/>
      </c>
    </row>
    <row r="24" ht="8" customHeight="1"/>
    <row r="25" ht="20" customHeight="1">
      <c r="A25" s="142" t="inlineStr">
        <is>
          <t>RESULTADO</t>
        </is>
      </c>
      <c r="B25" s="40" t="n"/>
      <c r="C25" s="40" t="n"/>
      <c r="D25" s="40" t="n"/>
      <c r="E25" s="40" t="n"/>
      <c r="F25" s="40" t="n"/>
      <c r="G25" s="40" t="n"/>
      <c r="H25" s="40" t="n"/>
      <c r="I25" s="40" t="n"/>
      <c r="J25" s="40" t="n"/>
      <c r="K25" s="40" t="n"/>
      <c r="L25" s="40" t="n"/>
      <c r="M25" s="40" t="n"/>
      <c r="N25" s="41" t="n"/>
    </row>
    <row r="26" ht="18" customHeight="1">
      <c r="A26" s="151" t="inlineStr">
        <is>
          <t>(=) RESULTADO OPERATIVO</t>
        </is>
      </c>
      <c r="B26" s="160">
        <f>B12-B23</f>
        <v/>
      </c>
      <c r="C26" s="160">
        <f>C12-C23</f>
        <v/>
      </c>
      <c r="D26" s="160">
        <f>D12-D23</f>
        <v/>
      </c>
      <c r="E26" s="160">
        <f>E12-E23</f>
        <v/>
      </c>
      <c r="F26" s="160">
        <f>F12-F23</f>
        <v/>
      </c>
      <c r="G26" s="160">
        <f>G12-G23</f>
        <v/>
      </c>
      <c r="H26" s="160">
        <f>H12-H23</f>
        <v/>
      </c>
      <c r="I26" s="160">
        <f>I12-I23</f>
        <v/>
      </c>
      <c r="J26" s="160">
        <f>J12-J23</f>
        <v/>
      </c>
      <c r="K26" s="160">
        <f>K12-K23</f>
        <v/>
      </c>
      <c r="L26" s="160">
        <f>L12-L23</f>
        <v/>
      </c>
      <c r="M26" s="160">
        <f>M12-M23</f>
        <v/>
      </c>
      <c r="N26" s="160">
        <f>N12-N23</f>
        <v/>
      </c>
    </row>
    <row r="27" ht="18" customHeight="1">
      <c r="A27" s="153" t="inlineStr">
        <is>
          <t>MARGEN OPERATIVO %</t>
        </is>
      </c>
      <c r="B27" s="161" t="inlineStr"/>
      <c r="C27" s="161" t="inlineStr"/>
      <c r="D27" s="161" t="inlineStr"/>
      <c r="E27" s="161" t="inlineStr"/>
      <c r="F27" s="161" t="inlineStr"/>
      <c r="G27" s="161" t="inlineStr"/>
      <c r="H27" s="161" t="inlineStr"/>
      <c r="I27" s="161" t="inlineStr"/>
      <c r="J27" s="161" t="inlineStr"/>
      <c r="K27" s="161" t="inlineStr"/>
      <c r="L27" s="161" t="inlineStr"/>
      <c r="M27" s="161" t="inlineStr"/>
      <c r="N27" s="162">
        <f>SUM(B27:M27)</f>
        <v/>
      </c>
    </row>
    <row r="28" ht="18" customHeight="1">
      <c r="A28" s="148" t="inlineStr">
        <is>
          <t xml:space="preserve">  (-) Impuestos estimados (10%)</t>
        </is>
      </c>
      <c r="B28" s="149">
        <f>IF(B26&gt;0,B26*0.10,0)</f>
        <v/>
      </c>
      <c r="C28" s="149">
        <f>IF(C26&gt;0,C26*0.10,0)</f>
        <v/>
      </c>
      <c r="D28" s="149">
        <f>IF(D26&gt;0,D26*0.10,0)</f>
        <v/>
      </c>
      <c r="E28" s="149">
        <f>IF(E26&gt;0,E26*0.10,0)</f>
        <v/>
      </c>
      <c r="F28" s="149">
        <f>IF(F26&gt;0,F26*0.10,0)</f>
        <v/>
      </c>
      <c r="G28" s="149">
        <f>IF(G26&gt;0,G26*0.10,0)</f>
        <v/>
      </c>
      <c r="H28" s="149">
        <f>IF(H26&gt;0,H26*0.10,0)</f>
        <v/>
      </c>
      <c r="I28" s="149">
        <f>IF(I26&gt;0,I26*0.10,0)</f>
        <v/>
      </c>
      <c r="J28" s="149">
        <f>IF(J26&gt;0,J26*0.10,0)</f>
        <v/>
      </c>
      <c r="K28" s="149">
        <f>IF(K26&gt;0,K26*0.10,0)</f>
        <v/>
      </c>
      <c r="L28" s="149">
        <f>IF(L26&gt;0,L26*0.10,0)</f>
        <v/>
      </c>
      <c r="M28" s="149">
        <f>IF(M26&gt;0,M26*0.10,0)</f>
        <v/>
      </c>
      <c r="N28" s="149">
        <f>IF(N26&gt;0,N26*0.10,0)</f>
        <v/>
      </c>
    </row>
    <row r="29" ht="18" customHeight="1">
      <c r="A29" s="163" t="inlineStr">
        <is>
          <t>(=) UTILIDAD NETA</t>
        </is>
      </c>
      <c r="B29" s="164">
        <f>B26-B28</f>
        <v/>
      </c>
      <c r="C29" s="164">
        <f>C26-C28</f>
        <v/>
      </c>
      <c r="D29" s="164">
        <f>D26-D28</f>
        <v/>
      </c>
      <c r="E29" s="164">
        <f>E26-E28</f>
        <v/>
      </c>
      <c r="F29" s="164">
        <f>F26-F28</f>
        <v/>
      </c>
      <c r="G29" s="164">
        <f>G26-G28</f>
        <v/>
      </c>
      <c r="H29" s="164">
        <f>H26-H28</f>
        <v/>
      </c>
      <c r="I29" s="164">
        <f>I26-I28</f>
        <v/>
      </c>
      <c r="J29" s="164">
        <f>J26-J28</f>
        <v/>
      </c>
      <c r="K29" s="164">
        <f>K26-K28</f>
        <v/>
      </c>
      <c r="L29" s="164">
        <f>L26-L28</f>
        <v/>
      </c>
      <c r="M29" s="164">
        <f>M26-M28</f>
        <v/>
      </c>
      <c r="N29" s="164">
        <f>N26-N28</f>
        <v/>
      </c>
    </row>
    <row r="30" ht="18" customHeight="1">
      <c r="A30" s="165" t="inlineStr">
        <is>
          <t>MARGEN NETO %</t>
        </is>
      </c>
      <c r="B30" s="166">
        <f>IF(B6&gt;0,B29/B6*100,0)</f>
        <v/>
      </c>
      <c r="C30" s="166">
        <f>IF(C6&gt;0,C29/C6*100,0)</f>
        <v/>
      </c>
      <c r="D30" s="166">
        <f>IF(D6&gt;0,D29/D6*100,0)</f>
        <v/>
      </c>
      <c r="E30" s="166">
        <f>IF(E6&gt;0,E29/E6*100,0)</f>
        <v/>
      </c>
      <c r="F30" s="166">
        <f>IF(F6&gt;0,F29/F6*100,0)</f>
        <v/>
      </c>
      <c r="G30" s="166">
        <f>IF(G6&gt;0,G29/G6*100,0)</f>
        <v/>
      </c>
      <c r="H30" s="166">
        <f>IF(H6&gt;0,H29/H6*100,0)</f>
        <v/>
      </c>
      <c r="I30" s="166">
        <f>IF(I6&gt;0,I29/I6*100,0)</f>
        <v/>
      </c>
      <c r="J30" s="166">
        <f>IF(J6&gt;0,J29/J6*100,0)</f>
        <v/>
      </c>
      <c r="K30" s="166">
        <f>IF(K6&gt;0,K29/K6*100,0)</f>
        <v/>
      </c>
      <c r="L30" s="166">
        <f>IF(L6&gt;0,L29/L6*100,0)</f>
        <v/>
      </c>
      <c r="M30" s="166">
        <f>IF(M6&gt;0,M29/M6*100,0)</f>
        <v/>
      </c>
      <c r="N30" s="166">
        <f>IF(N6&gt;0,N29/N6*100,0)</f>
        <v/>
      </c>
    </row>
  </sheetData>
  <mergeCells count="5">
    <mergeCell ref="A8:N8"/>
    <mergeCell ref="A3:N3"/>
    <mergeCell ref="A15:N15"/>
    <mergeCell ref="A25:N25"/>
    <mergeCell ref="A1:H1"/>
  </mergeCells>
  <pageMargins left="0.75" right="0.75" top="1" bottom="1" header="0.5" footer="0.5"/>
</worksheet>
</file>

<file path=xl/worksheets/sheet15.xml><?xml version="1.0" encoding="utf-8"?>
<worksheet xmlns="http://schemas.openxmlformats.org/spreadsheetml/2006/main">
  <sheetPr>
    <tabColor rgb="00E31837"/>
    <outlinePr summaryBelow="1" summaryRight="1"/>
    <pageSetUpPr/>
  </sheetPr>
  <dimension ref="A1:N23"/>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ht="36" customHeight="1">
      <c r="A1" s="167" t="inlineStr">
        <is>
          <t>🏎️  EL RINCÓN 3D LAB — DASHBOARD EJECUTIVO</t>
        </is>
      </c>
    </row>
    <row r="2" ht="16" customHeight="1">
      <c r="A2" s="168">
        <f>" Período: "&amp;TEXT(TODAY(),"MMMM YYYY")&amp;" | Última actualización: "&amp;TEXT(NOW(),"DD/MM/YYYY HH:MM")</f>
        <v/>
      </c>
    </row>
    <row r="3" ht="22" customHeight="1">
      <c r="A3" s="136" t="inlineStr">
        <is>
          <t>💰  FINANCIERO</t>
        </is>
      </c>
      <c r="B3" s="40" t="n"/>
      <c r="C3" s="40" t="n"/>
      <c r="D3" s="40" t="n"/>
      <c r="E3" s="40" t="n"/>
      <c r="F3" s="40" t="n"/>
      <c r="G3" s="40" t="n"/>
      <c r="H3" s="40" t="n"/>
      <c r="I3" s="40" t="n"/>
      <c r="J3" s="40" t="n"/>
      <c r="K3" s="40" t="n"/>
      <c r="L3" s="40" t="n"/>
      <c r="M3" s="40" t="n"/>
      <c r="N3" s="41" t="n"/>
    </row>
    <row r="4" ht="16" customHeight="1">
      <c r="A4" s="169" t="inlineStr">
        <is>
          <t>VENTAS MES</t>
        </is>
      </c>
      <c r="B4" s="169" t="inlineStr">
        <is>
          <t>VENTAS AÑO</t>
        </is>
      </c>
      <c r="C4" s="169" t="inlineStr">
        <is>
          <t>UTILIDAD NETA MES</t>
        </is>
      </c>
      <c r="D4" s="169" t="inlineStr">
        <is>
          <t>FACTURACIÓN TOTAL</t>
        </is>
      </c>
      <c r="E4" s="169" t="inlineStr">
        <is>
          <t>MARGEN PROMEDIO %</t>
        </is>
      </c>
      <c r="F4" s="169" t="inlineStr">
        <is>
          <t>TICKET PROMEDIO</t>
        </is>
      </c>
      <c r="G4" s="169" t="inlineStr">
        <is>
          <t>TOTAL PEDIDOS</t>
        </is>
      </c>
    </row>
    <row r="5" ht="38" customHeight="1">
      <c r="A5" s="170">
        <f>SUMPRODUCT((MONTH(TBL_Ventas[Fecha])=MONTH(TODAY()))*(YEAR(TBL_Ventas[Fecha])=YEAR(TODAY()))*TBL_Ventas[Facturación])</f>
        <v/>
      </c>
      <c r="B5" s="171">
        <f>SUMPRODUCT((YEAR(TBL_Ventas[Fecha])=YEAR(TODAY()))*TBL_Ventas[Facturación])</f>
        <v/>
      </c>
      <c r="C5" s="172">
        <f>SUMPRODUCT((MONTH(TBL_Ventas[Fecha])=MONTH(TODAY()))*(YEAR(TBL_Ventas[Fecha])=YEAR(TODAY()))*TBL_Ventas[Ganancia])</f>
        <v/>
      </c>
      <c r="D5" s="173">
        <f>SUM(TBL_Ventas[Facturación])</f>
        <v/>
      </c>
      <c r="E5" s="174">
        <f>IF(SUM(TBL_Ventas[Facturación])&gt;0,SUM(TBL_Ventas[Ganancia])/SUM(TBL_Ventas[Facturación])*100,0)</f>
        <v/>
      </c>
      <c r="F5" s="175">
        <f>IFERROR(AVERAGE(TBL_Ventas[Facturación]),0)</f>
        <v/>
      </c>
      <c r="G5" s="176">
        <f>COUNTA(TBL_Ventas[ID Venta])</f>
        <v/>
      </c>
    </row>
    <row r="7" ht="22" customHeight="1">
      <c r="A7" s="136" t="inlineStr">
        <is>
          <t>🎯  COMERCIAL &amp; MARKETING</t>
        </is>
      </c>
      <c r="B7" s="40" t="n"/>
      <c r="C7" s="40" t="n"/>
      <c r="D7" s="40" t="n"/>
      <c r="E7" s="40" t="n"/>
      <c r="F7" s="40" t="n"/>
      <c r="G7" s="40" t="n"/>
      <c r="H7" s="40" t="n"/>
      <c r="I7" s="40" t="n"/>
      <c r="J7" s="40" t="n"/>
      <c r="K7" s="40" t="n"/>
      <c r="L7" s="40" t="n"/>
      <c r="M7" s="40" t="n"/>
      <c r="N7" s="41" t="n"/>
    </row>
    <row r="8" ht="16" customHeight="1">
      <c r="A8" s="169" t="inlineStr">
        <is>
          <t>CLIENTES NUEVOS MES</t>
        </is>
      </c>
      <c r="B8" s="169" t="inlineStr">
        <is>
          <t>CLIENTES VIP</t>
        </is>
      </c>
      <c r="C8" s="169" t="inlineStr">
        <is>
          <t>CLIENTES RECURRENTES</t>
        </is>
      </c>
      <c r="D8" s="169" t="inlineStr">
        <is>
          <t>LEADS MES</t>
        </is>
      </c>
      <c r="E8" s="169" t="inlineStr">
        <is>
          <t>CONV. LEAD→VENTA %</t>
        </is>
      </c>
      <c r="F8" s="169" t="inlineStr">
        <is>
          <t>INVERSIÓN PUBLI MES</t>
        </is>
      </c>
      <c r="G8" s="169" t="inlineStr">
        <is>
          <t>ROAS PROMEDIO</t>
        </is>
      </c>
    </row>
    <row r="9" ht="38" customHeight="1">
      <c r="A9" s="177">
        <f>SUMPRODUCT((MONTH(TBL_Clientes[1ra Compra])=MONTH(TODAY()))*(YEAR(TBL_Clientes[1ra Compra])=YEAR(TODAY())))</f>
        <v/>
      </c>
      <c r="B9" s="178">
        <f>COUNTIF(TBL_Clientes[Segmento],"VIP")</f>
        <v/>
      </c>
      <c r="C9" s="179">
        <f>COUNTIF(TBL_Clientes[Segmento],"Frecuente")+COUNTIF(TBL_Clientes[Segmento],"VIP")</f>
        <v/>
      </c>
      <c r="D9" s="170">
        <f>SUMPRODUCT((MONTH(TBL_Leads[Fecha])=MONTH(TODAY()))*(YEAR(TBL_Leads[Fecha])=YEAR(TODAY())))</f>
        <v/>
      </c>
      <c r="E9" s="174">
        <f>IFERROR(COUNTA(TBL_Ventas[ID Venta])/COUNTA(TBL_Leads[ID Lead])*100,0)</f>
        <v/>
      </c>
      <c r="F9" s="180">
        <f>SUMPRODUCT((MONTH(TBL_Publicidad[Fecha])=MONTH(TODAY()))*(YEAR(TBL_Publicidad[Fecha])=YEAR(TODAY()))*TBL_Publicidad[Inversión])</f>
        <v/>
      </c>
      <c r="G9" s="181">
        <f>IFERROR(SUM(TBL_Publicidad[Facturación])/SUM(TBL_Publicidad[Inversión]),0)</f>
        <v/>
      </c>
    </row>
    <row r="11" ht="22" customHeight="1">
      <c r="A11" s="136" t="inlineStr">
        <is>
          <t>🤖  PITBOT &amp; OPERACIONES</t>
        </is>
      </c>
      <c r="B11" s="40" t="n"/>
      <c r="C11" s="40" t="n"/>
      <c r="D11" s="40" t="n"/>
      <c r="E11" s="40" t="n"/>
      <c r="F11" s="40" t="n"/>
      <c r="G11" s="40" t="n"/>
      <c r="H11" s="40" t="n"/>
      <c r="I11" s="40" t="n"/>
      <c r="J11" s="40" t="n"/>
      <c r="K11" s="40" t="n"/>
      <c r="L11" s="40" t="n"/>
      <c r="M11" s="40" t="n"/>
      <c r="N11" s="41" t="n"/>
    </row>
    <row r="12" ht="16" customHeight="1">
      <c r="A12" s="169" t="inlineStr">
        <is>
          <t>CONVERSACIONES PITBOT</t>
        </is>
      </c>
      <c r="B12" s="169" t="inlineStr">
        <is>
          <t>VENTAS POR PITBOT</t>
        </is>
      </c>
      <c r="C12" s="169" t="inlineStr">
        <is>
          <t>CONV. PITBOT %</t>
        </is>
      </c>
      <c r="D12" s="169" t="inlineStr">
        <is>
          <t>COTIZACIONES ENVIADAS</t>
        </is>
      </c>
      <c r="E12" s="169" t="inlineStr">
        <is>
          <t>COTIZ. ACEPTADAS %</t>
        </is>
      </c>
      <c r="F12" s="169" t="inlineStr">
        <is>
          <t>PRODUCTOS EN ALERTA</t>
        </is>
      </c>
      <c r="G12" s="169" t="inlineStr">
        <is>
          <t>PRODUCTOS ACTIVOS</t>
        </is>
      </c>
    </row>
    <row r="13" ht="38" customHeight="1">
      <c r="A13" s="173">
        <f>COUNTA(TBL_PitBot[ID Conv.])</f>
        <v/>
      </c>
      <c r="B13" s="172">
        <f>COUNTIF(TBL_PitBot[Resultado],"Venta")</f>
        <v/>
      </c>
      <c r="C13" s="182">
        <f>IFERROR(COUNTIF(TBL_PitBot[Resultado],"Venta")/COUNTA(TBL_PitBot[ID Conv.])*100,0)</f>
        <v/>
      </c>
      <c r="D13" s="171">
        <f>COUNTA(TBL_Cotizaciones[ID Cotización])</f>
        <v/>
      </c>
      <c r="E13" s="183">
        <f>IFERROR(COUNTIF(TBL_Cotizaciones[Estado],"Aceptada")/COUNTA(TBL_Cotizaciones[ID Cotización])*100,0)</f>
        <v/>
      </c>
      <c r="F13" s="178">
        <f>COUNTIF(TBL_Inventario[Alerta],"STOCK BAJO")+COUNTIF(TBL_Inventario[Alerta],"CRÍTICO")</f>
        <v/>
      </c>
      <c r="G13" s="172">
        <f>COUNTIF(TBL_Productos[Activo],"SI")</f>
        <v/>
      </c>
    </row>
    <row r="15" ht="22" customHeight="1">
      <c r="A15" s="136" t="inlineStr">
        <is>
          <t>🏆  TOP PRODUCTOS POR FACTURACIÓN</t>
        </is>
      </c>
      <c r="B15" s="40" t="n"/>
      <c r="C15" s="40" t="n"/>
      <c r="D15" s="40" t="n"/>
      <c r="E15" s="40" t="n"/>
      <c r="F15" s="40" t="n"/>
      <c r="G15" s="41" t="n"/>
      <c r="H15" s="136" t="inlineStr">
        <is>
          <t>📡  FACTURACIÓN POR CANAL</t>
        </is>
      </c>
      <c r="I15" s="40" t="n"/>
      <c r="J15" s="40" t="n"/>
      <c r="K15" s="40" t="n"/>
      <c r="L15" s="40" t="n"/>
      <c r="M15" s="40" t="n"/>
      <c r="N15" s="41" t="n"/>
    </row>
    <row r="16">
      <c r="A16" s="184" t="inlineStr">
        <is>
          <t>Producto</t>
        </is>
      </c>
      <c r="B16" s="184" t="inlineStr">
        <is>
          <t>Ventas</t>
        </is>
      </c>
      <c r="C16" s="184" t="inlineStr">
        <is>
          <t>Facturación</t>
        </is>
      </c>
      <c r="D16" s="184" t="inlineStr">
        <is>
          <t>Ganancia</t>
        </is>
      </c>
      <c r="E16" s="184" t="inlineStr">
        <is>
          <t>Margen %</t>
        </is>
      </c>
      <c r="H16" s="184" t="inlineStr">
        <is>
          <t>Canal</t>
        </is>
      </c>
      <c r="I16" s="184" t="inlineStr">
        <is>
          <t>Pedidos</t>
        </is>
      </c>
      <c r="J16" s="184" t="inlineStr">
        <is>
          <t>Facturación</t>
        </is>
      </c>
      <c r="K16" s="184" t="inlineStr">
        <is>
          <t>Ganancia</t>
        </is>
      </c>
      <c r="L16" s="184" t="inlineStr">
        <is>
          <t>Margen %</t>
        </is>
      </c>
    </row>
    <row r="17" ht="16" customHeight="1">
      <c r="A17" s="185" t="inlineStr">
        <is>
          <t>⚡ Conectar con Tabla Dinámica o Power Query
basada en TBL_Ventas + TBL_DetalleVentas
para ranking automático de productos.
Usar: Insertar &gt; Tabla Dinámica &gt; desde TBL_DetalleVentas
Agrupar por: Producto | Valores: SUMA Ganancia, SUMA Facturación</t>
        </is>
      </c>
      <c r="B17" s="239" t="n"/>
      <c r="C17" s="239" t="n"/>
      <c r="D17" s="239" t="n"/>
      <c r="E17" s="239" t="n"/>
      <c r="F17" s="239" t="n"/>
      <c r="G17" s="240" t="n"/>
      <c r="H17" s="186" t="inlineStr">
        <is>
          <t>Instagram</t>
        </is>
      </c>
      <c r="I17" s="187">
        <f>COUNTIF(TBL_Ventas[Canal],H17)</f>
        <v/>
      </c>
      <c r="J17" s="187">
        <f>IFERROR(SUMIF(TBL_Ventas[Canal],H17,TBL_Ventas[Facturación]),0)</f>
        <v/>
      </c>
      <c r="K17" s="188" t="n"/>
      <c r="L17" s="188" t="n"/>
    </row>
    <row r="18" ht="16" customHeight="1">
      <c r="A18" s="241" t="n"/>
      <c r="G18" s="242" t="n"/>
      <c r="H18" s="186" t="inlineStr">
        <is>
          <t>WhatsApp</t>
        </is>
      </c>
      <c r="I18" s="187">
        <f>COUNTIF(TBL_Ventas[Canal],H18)</f>
        <v/>
      </c>
      <c r="J18" s="187">
        <f>IFERROR(SUMIF(TBL_Ventas[Canal],H18,TBL_Ventas[Facturación]),0)</f>
        <v/>
      </c>
      <c r="K18" s="188" t="n"/>
      <c r="L18" s="188" t="n"/>
    </row>
    <row r="19" ht="16" customHeight="1">
      <c r="A19" s="241" t="n"/>
      <c r="G19" s="242" t="n"/>
      <c r="H19" s="186" t="inlineStr">
        <is>
          <t>Facebook</t>
        </is>
      </c>
      <c r="I19" s="187">
        <f>COUNTIF(TBL_Ventas[Canal],H19)</f>
        <v/>
      </c>
      <c r="J19" s="187">
        <f>IFERROR(SUMIF(TBL_Ventas[Canal],H19,TBL_Ventas[Facturación]),0)</f>
        <v/>
      </c>
      <c r="K19" s="188" t="n"/>
      <c r="L19" s="188" t="n"/>
    </row>
    <row r="20" ht="16" customHeight="1">
      <c r="A20" s="241" t="n"/>
      <c r="G20" s="242" t="n"/>
      <c r="H20" s="186" t="inlineStr">
        <is>
          <t>WooCommerce</t>
        </is>
      </c>
      <c r="I20" s="187">
        <f>COUNTIF(TBL_Ventas[Canal],H20)</f>
        <v/>
      </c>
      <c r="J20" s="187">
        <f>IFERROR(SUMIF(TBL_Ventas[Canal],H20,TBL_Ventas[Facturación]),0)</f>
        <v/>
      </c>
      <c r="K20" s="188" t="n"/>
      <c r="L20" s="188" t="n"/>
    </row>
    <row r="21" ht="16" customHeight="1">
      <c r="A21" s="241" t="n"/>
      <c r="G21" s="242" t="n"/>
      <c r="H21" s="186" t="inlineStr">
        <is>
          <t>Mercado Libre</t>
        </is>
      </c>
      <c r="I21" s="187">
        <f>COUNTIF(TBL_Ventas[Canal],H21)</f>
        <v/>
      </c>
      <c r="J21" s="187">
        <f>IFERROR(SUMIF(TBL_Ventas[Canal],H21,TBL_Ventas[Facturación]),0)</f>
        <v/>
      </c>
      <c r="K21" s="188" t="n"/>
      <c r="L21" s="188" t="n"/>
    </row>
    <row r="22" ht="16" customHeight="1">
      <c r="A22" s="241" t="n"/>
      <c r="G22" s="242" t="n"/>
      <c r="H22" s="186" t="inlineStr">
        <is>
          <t>Evento</t>
        </is>
      </c>
      <c r="I22" s="187">
        <f>COUNTIF(TBL_Ventas[Canal],H22)</f>
        <v/>
      </c>
      <c r="J22" s="187">
        <f>IFERROR(SUMIF(TBL_Ventas[Canal],H22,TBL_Ventas[Facturación]),0)</f>
        <v/>
      </c>
      <c r="K22" s="188" t="n"/>
      <c r="L22" s="188" t="n"/>
    </row>
    <row r="23" ht="16" customHeight="1">
      <c r="A23" s="243" t="n"/>
      <c r="B23" s="244" t="n"/>
      <c r="C23" s="244" t="n"/>
      <c r="D23" s="244" t="n"/>
      <c r="E23" s="244" t="n"/>
      <c r="F23" s="244" t="n"/>
      <c r="G23" s="245" t="n"/>
      <c r="H23" s="186" t="inlineStr">
        <is>
          <t>Total</t>
        </is>
      </c>
      <c r="I23" s="187">
        <f>COUNTIF(TBL_Ventas[Canal],H23)</f>
        <v/>
      </c>
      <c r="J23" s="187">
        <f>IFERROR(SUMIF(TBL_Ventas[Canal],H23,TBL_Ventas[Facturación]),0)</f>
        <v/>
      </c>
      <c r="K23" s="188" t="n"/>
      <c r="L23" s="188" t="n"/>
    </row>
  </sheetData>
  <mergeCells count="8">
    <mergeCell ref="A3:N3"/>
    <mergeCell ref="A2:N2"/>
    <mergeCell ref="A7:N7"/>
    <mergeCell ref="A11:N11"/>
    <mergeCell ref="A15:G15"/>
    <mergeCell ref="A17:G23"/>
    <mergeCell ref="H15:N15"/>
    <mergeCell ref="A1:N1"/>
  </mergeCells>
  <pageMargins left="0.75" right="0.75" top="1" bottom="1" header="0.5" footer="0.5"/>
</worksheet>
</file>

<file path=xl/worksheets/sheet16.xml><?xml version="1.0" encoding="utf-8"?>
<worksheet xmlns="http://schemas.openxmlformats.org/spreadsheetml/2006/main">
  <sheetPr>
    <tabColor rgb="001565C0"/>
    <outlinePr summaryBelow="1" summaryRight="1"/>
    <pageSetUpPr/>
  </sheetPr>
  <dimension ref="A1:L25"/>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2" customHeight="1">
      <c r="A1" s="189" t="inlineStr">
        <is>
          <t>📦  DASHBOARD PRODUCTOS</t>
        </is>
      </c>
    </row>
    <row r="2" ht="16" customHeight="1">
      <c r="A2" s="168" t="inlineStr">
        <is>
          <t>Conectar con tablas maestras · Usar Tablas Dinámicas o Power Query · Exportable a Looker Studio / Power BI</t>
        </is>
      </c>
    </row>
    <row r="4" ht="20" customHeight="1">
      <c r="A4" s="190" t="inlineStr">
        <is>
          <t>TOP PRODUCTOS POR FACTURACIÓN</t>
        </is>
      </c>
      <c r="B4" s="40" t="n"/>
      <c r="C4" s="40" t="n"/>
      <c r="D4" s="41" t="n"/>
      <c r="E4" s="190" t="inlineStr">
        <is>
          <t>TOP PRODUCTOS POR GANANCIA</t>
        </is>
      </c>
      <c r="F4" s="40" t="n"/>
      <c r="G4" s="40" t="n"/>
      <c r="H4" s="41" t="n"/>
      <c r="I4" s="190" t="inlineStr">
        <is>
          <t>TOP PRODUCTOS POR MARGEN %</t>
        </is>
      </c>
      <c r="J4" s="40" t="n"/>
      <c r="K4" s="40" t="n"/>
      <c r="L4" s="41" t="n"/>
    </row>
    <row r="5" ht="14" customHeight="1">
      <c r="A5" s="191" t="inlineStr">
        <is>
          <t>Usar Tabla Dinámica → TBL_DetalleVentas
Campos: Producto (filas), SUMA(Subtotal) (valores)
Filtro: Canal, Fecha</t>
        </is>
      </c>
      <c r="B5" s="239" t="n"/>
      <c r="C5" s="239" t="n"/>
      <c r="D5" s="240" t="n"/>
      <c r="E5" s="191" t="inlineStr">
        <is>
          <t>Agregar columna calculada Ganancia en TBL_DetalleVentas
Tabla Dinámica con SUMA(Ganancia) por Producto</t>
        </is>
      </c>
      <c r="F5" s="239" t="n"/>
      <c r="G5" s="239" t="n"/>
      <c r="H5" s="240" t="n"/>
      <c r="I5" s="191" t="inlineStr">
        <is>
          <t>Campo calculado: Margen = Ganancia/Subtotal
Ordenar descendente</t>
        </is>
      </c>
      <c r="J5" s="239" t="n"/>
      <c r="K5" s="239" t="n"/>
      <c r="L5" s="240" t="n"/>
    </row>
    <row r="6" ht="14" customHeight="1">
      <c r="A6" s="241" t="n"/>
      <c r="D6" s="242" t="n"/>
      <c r="E6" s="241" t="n"/>
      <c r="H6" s="242" t="n"/>
      <c r="I6" s="241" t="n"/>
      <c r="L6" s="242" t="n"/>
    </row>
    <row r="7" ht="14" customHeight="1">
      <c r="A7" s="241" t="n"/>
      <c r="D7" s="242" t="n"/>
      <c r="E7" s="241" t="n"/>
      <c r="H7" s="242" t="n"/>
      <c r="I7" s="241" t="n"/>
      <c r="L7" s="242" t="n"/>
    </row>
    <row r="8" ht="14" customHeight="1">
      <c r="A8" s="241" t="n"/>
      <c r="D8" s="242" t="n"/>
      <c r="E8" s="241" t="n"/>
      <c r="H8" s="242" t="n"/>
      <c r="I8" s="241" t="n"/>
      <c r="L8" s="242" t="n"/>
    </row>
    <row r="9" ht="14" customHeight="1">
      <c r="A9" s="241" t="n"/>
      <c r="D9" s="242" t="n"/>
      <c r="E9" s="241" t="n"/>
      <c r="H9" s="242" t="n"/>
      <c r="I9" s="241" t="n"/>
      <c r="L9" s="242" t="n"/>
    </row>
    <row r="10" ht="14" customHeight="1">
      <c r="A10" s="241" t="n"/>
      <c r="D10" s="242" t="n"/>
      <c r="E10" s="241" t="n"/>
      <c r="H10" s="242" t="n"/>
      <c r="I10" s="241" t="n"/>
      <c r="L10" s="242" t="n"/>
    </row>
    <row r="11" ht="14" customHeight="1">
      <c r="A11" s="241" t="n"/>
      <c r="D11" s="242" t="n"/>
      <c r="E11" s="241" t="n"/>
      <c r="H11" s="242" t="n"/>
      <c r="I11" s="241" t="n"/>
      <c r="L11" s="242" t="n"/>
    </row>
    <row r="12" ht="14" customHeight="1">
      <c r="A12" s="241" t="n"/>
      <c r="D12" s="242" t="n"/>
      <c r="E12" s="241" t="n"/>
      <c r="H12" s="242" t="n"/>
      <c r="I12" s="241" t="n"/>
      <c r="L12" s="242" t="n"/>
    </row>
    <row r="13" ht="14" customHeight="1">
      <c r="A13" s="243" t="n"/>
      <c r="B13" s="244" t="n"/>
      <c r="C13" s="244" t="n"/>
      <c r="D13" s="245" t="n"/>
      <c r="E13" s="243" t="n"/>
      <c r="F13" s="244" t="n"/>
      <c r="G13" s="244" t="n"/>
      <c r="H13" s="245" t="n"/>
      <c r="I13" s="243" t="n"/>
      <c r="J13" s="244" t="n"/>
      <c r="K13" s="244" t="n"/>
      <c r="L13" s="245" t="n"/>
    </row>
    <row r="16" ht="20" customHeight="1">
      <c r="A16" s="190" t="inlineStr">
        <is>
          <t>TOP PRODUCTOS POR UNIDADES</t>
        </is>
      </c>
      <c r="B16" s="40" t="n"/>
      <c r="C16" s="40" t="n"/>
      <c r="D16" s="41" t="n"/>
      <c r="E16" s="190" t="inlineStr">
        <is>
          <t>PRODUCTOS SIN MOVIMIENTO</t>
        </is>
      </c>
      <c r="F16" s="40" t="n"/>
      <c r="G16" s="40" t="n"/>
      <c r="H16" s="41" t="n"/>
    </row>
    <row r="17" ht="14" customHeight="1">
      <c r="A17" s="191" t="inlineStr">
        <is>
          <t>SUMA(Cantidad) por Producto</t>
        </is>
      </c>
      <c r="B17" s="239" t="n"/>
      <c r="C17" s="239" t="n"/>
      <c r="D17" s="240" t="n"/>
      <c r="E17" s="191" t="inlineStr">
        <is>
          <t>Cruzar TBL_Inventario con TBL_DetalleVentas
Productos en inventario que no aparecen en ventas</t>
        </is>
      </c>
      <c r="F17" s="239" t="n"/>
      <c r="G17" s="239" t="n"/>
      <c r="H17" s="240" t="n"/>
    </row>
    <row r="18" ht="14" customHeight="1">
      <c r="A18" s="241" t="n"/>
      <c r="D18" s="242" t="n"/>
      <c r="E18" s="241" t="n"/>
      <c r="H18" s="242" t="n"/>
    </row>
    <row r="19" ht="14" customHeight="1">
      <c r="A19" s="241" t="n"/>
      <c r="D19" s="242" t="n"/>
      <c r="E19" s="241" t="n"/>
      <c r="H19" s="242" t="n"/>
    </row>
    <row r="20" ht="14" customHeight="1">
      <c r="A20" s="241" t="n"/>
      <c r="D20" s="242" t="n"/>
      <c r="E20" s="241" t="n"/>
      <c r="H20" s="242" t="n"/>
    </row>
    <row r="21" ht="14" customHeight="1">
      <c r="A21" s="241" t="n"/>
      <c r="D21" s="242" t="n"/>
      <c r="E21" s="241" t="n"/>
      <c r="H21" s="242" t="n"/>
    </row>
    <row r="22" ht="14" customHeight="1">
      <c r="A22" s="241" t="n"/>
      <c r="D22" s="242" t="n"/>
      <c r="E22" s="241" t="n"/>
      <c r="H22" s="242" t="n"/>
    </row>
    <row r="23" ht="14" customHeight="1">
      <c r="A23" s="241" t="n"/>
      <c r="D23" s="242" t="n"/>
      <c r="E23" s="241" t="n"/>
      <c r="H23" s="242" t="n"/>
    </row>
    <row r="24" ht="14" customHeight="1">
      <c r="A24" s="241" t="n"/>
      <c r="D24" s="242" t="n"/>
      <c r="E24" s="241" t="n"/>
      <c r="H24" s="242" t="n"/>
    </row>
    <row r="25" ht="14" customHeight="1">
      <c r="A25" s="243" t="n"/>
      <c r="B25" s="244" t="n"/>
      <c r="C25" s="244" t="n"/>
      <c r="D25" s="245" t="n"/>
      <c r="E25" s="243" t="n"/>
      <c r="F25" s="244" t="n"/>
      <c r="G25" s="244" t="n"/>
      <c r="H25" s="245" t="n"/>
    </row>
  </sheetData>
  <mergeCells count="12">
    <mergeCell ref="A5:D13"/>
    <mergeCell ref="E5:H13"/>
    <mergeCell ref="I5:L13"/>
    <mergeCell ref="A17:D25"/>
    <mergeCell ref="A4:D4"/>
    <mergeCell ref="E17:H25"/>
    <mergeCell ref="E4:H4"/>
    <mergeCell ref="I4:L4"/>
    <mergeCell ref="A2:K2"/>
    <mergeCell ref="E16:H16"/>
    <mergeCell ref="A16:D16"/>
    <mergeCell ref="A1:K1"/>
  </mergeCells>
  <pageMargins left="0.75" right="0.75" top="1" bottom="1" header="0.5" footer="0.5"/>
</worksheet>
</file>

<file path=xl/worksheets/sheet17.xml><?xml version="1.0" encoding="utf-8"?>
<worksheet xmlns="http://schemas.openxmlformats.org/spreadsheetml/2006/main">
  <sheetPr>
    <tabColor rgb="002E7D32"/>
    <outlinePr summaryBelow="1" summaryRight="1"/>
    <pageSetUpPr/>
  </sheetPr>
  <dimension ref="A1:L25"/>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2" customHeight="1">
      <c r="A1" s="192" t="inlineStr">
        <is>
          <t>👤  DASHBOARD CLIENTES — CRM</t>
        </is>
      </c>
    </row>
    <row r="2" ht="16" customHeight="1">
      <c r="A2" s="168" t="inlineStr">
        <is>
          <t>Conectar con tablas maestras · Usar Tablas Dinámicas o Power Query · Exportable a Looker Studio / Power BI</t>
        </is>
      </c>
    </row>
    <row r="4" ht="20" customHeight="1">
      <c r="A4" s="193" t="inlineStr">
        <is>
          <t>TOP 10 CLIENTES POR FACTURACIÓN</t>
        </is>
      </c>
      <c r="B4" s="40" t="n"/>
      <c r="C4" s="40" t="n"/>
      <c r="D4" s="41" t="n"/>
      <c r="E4" s="193" t="inlineStr">
        <is>
          <t>TOP 10 CLIENTES POR GANANCIA</t>
        </is>
      </c>
      <c r="F4" s="40" t="n"/>
      <c r="G4" s="40" t="n"/>
      <c r="H4" s="41" t="n"/>
      <c r="I4" s="193" t="inlineStr">
        <is>
          <t>DISTRIBUCIÓN POR SEGMENTO</t>
        </is>
      </c>
      <c r="J4" s="40" t="n"/>
      <c r="K4" s="40" t="n"/>
      <c r="L4" s="41" t="n"/>
    </row>
    <row r="5" ht="14" customHeight="1">
      <c r="A5" s="194" t="inlineStr">
        <is>
          <t>GRANDE.K(TBL_Clientes[Facturación total], 1..10)
Fórmula INDEX/MATCH para nombre</t>
        </is>
      </c>
      <c r="B5" s="239" t="n"/>
      <c r="C5" s="239" t="n"/>
      <c r="D5" s="240" t="n"/>
      <c r="E5" s="194" t="inlineStr">
        <is>
          <t>Ordenar TBL_Clientes por Ganancia generada desc</t>
        </is>
      </c>
      <c r="F5" s="239" t="n"/>
      <c r="G5" s="239" t="n"/>
      <c r="H5" s="240" t="n"/>
      <c r="I5" s="194" t="inlineStr">
        <is>
          <t>COUNTIF por Segmento: VIP / Frecuente / Ocasional / Dormido
Gráfico Donut</t>
        </is>
      </c>
      <c r="J5" s="239" t="n"/>
      <c r="K5" s="239" t="n"/>
      <c r="L5" s="240" t="n"/>
    </row>
    <row r="6" ht="14" customHeight="1">
      <c r="A6" s="241" t="n"/>
      <c r="D6" s="242" t="n"/>
      <c r="E6" s="241" t="n"/>
      <c r="H6" s="242" t="n"/>
      <c r="I6" s="241" t="n"/>
      <c r="L6" s="242" t="n"/>
    </row>
    <row r="7" ht="14" customHeight="1">
      <c r="A7" s="241" t="n"/>
      <c r="D7" s="242" t="n"/>
      <c r="E7" s="241" t="n"/>
      <c r="H7" s="242" t="n"/>
      <c r="I7" s="241" t="n"/>
      <c r="L7" s="242" t="n"/>
    </row>
    <row r="8" ht="14" customHeight="1">
      <c r="A8" s="241" t="n"/>
      <c r="D8" s="242" t="n"/>
      <c r="E8" s="241" t="n"/>
      <c r="H8" s="242" t="n"/>
      <c r="I8" s="241" t="n"/>
      <c r="L8" s="242" t="n"/>
    </row>
    <row r="9" ht="14" customHeight="1">
      <c r="A9" s="241" t="n"/>
      <c r="D9" s="242" t="n"/>
      <c r="E9" s="241" t="n"/>
      <c r="H9" s="242" t="n"/>
      <c r="I9" s="241" t="n"/>
      <c r="L9" s="242" t="n"/>
    </row>
    <row r="10" ht="14" customHeight="1">
      <c r="A10" s="241" t="n"/>
      <c r="D10" s="242" t="n"/>
      <c r="E10" s="241" t="n"/>
      <c r="H10" s="242" t="n"/>
      <c r="I10" s="241" t="n"/>
      <c r="L10" s="242" t="n"/>
    </row>
    <row r="11" ht="14" customHeight="1">
      <c r="A11" s="241" t="n"/>
      <c r="D11" s="242" t="n"/>
      <c r="E11" s="241" t="n"/>
      <c r="H11" s="242" t="n"/>
      <c r="I11" s="241" t="n"/>
      <c r="L11" s="242" t="n"/>
    </row>
    <row r="12" ht="14" customHeight="1">
      <c r="A12" s="241" t="n"/>
      <c r="D12" s="242" t="n"/>
      <c r="E12" s="241" t="n"/>
      <c r="H12" s="242" t="n"/>
      <c r="I12" s="241" t="n"/>
      <c r="L12" s="242" t="n"/>
    </row>
    <row r="13" ht="14" customHeight="1">
      <c r="A13" s="243" t="n"/>
      <c r="B13" s="244" t="n"/>
      <c r="C13" s="244" t="n"/>
      <c r="D13" s="245" t="n"/>
      <c r="E13" s="243" t="n"/>
      <c r="F13" s="244" t="n"/>
      <c r="G13" s="244" t="n"/>
      <c r="H13" s="245" t="n"/>
      <c r="I13" s="243" t="n"/>
      <c r="J13" s="244" t="n"/>
      <c r="K13" s="244" t="n"/>
      <c r="L13" s="245" t="n"/>
    </row>
    <row r="16" ht="20" customHeight="1">
      <c r="A16" s="193" t="inlineStr">
        <is>
          <t>RFM — ANÁLISIS DE VALOR</t>
        </is>
      </c>
      <c r="B16" s="40" t="n"/>
      <c r="C16" s="40" t="n"/>
      <c r="D16" s="41" t="n"/>
      <c r="E16" s="193" t="inlineStr">
        <is>
          <t>ANÁLISIS DE RETENCIÓN</t>
        </is>
      </c>
      <c r="F16" s="40" t="n"/>
      <c r="G16" s="40" t="n"/>
      <c r="H16" s="41" t="n"/>
    </row>
    <row r="17" ht="14" customHeight="1">
      <c r="A17" s="194" t="inlineStr">
        <is>
          <t>Scores R, F, M calculados en TBL_Clientes
Heatmap de segmentos RFM</t>
        </is>
      </c>
      <c r="B17" s="239" t="n"/>
      <c r="C17" s="239" t="n"/>
      <c r="D17" s="240" t="n"/>
      <c r="E17" s="194" t="inlineStr">
        <is>
          <t>Clientes que compraron este mes vs. mes anterior
Fórmula COUNTIFS con fechas</t>
        </is>
      </c>
      <c r="F17" s="239" t="n"/>
      <c r="G17" s="239" t="n"/>
      <c r="H17" s="240" t="n"/>
    </row>
    <row r="18" ht="14" customHeight="1">
      <c r="A18" s="241" t="n"/>
      <c r="D18" s="242" t="n"/>
      <c r="E18" s="241" t="n"/>
      <c r="H18" s="242" t="n"/>
    </row>
    <row r="19" ht="14" customHeight="1">
      <c r="A19" s="241" t="n"/>
      <c r="D19" s="242" t="n"/>
      <c r="E19" s="241" t="n"/>
      <c r="H19" s="242" t="n"/>
    </row>
    <row r="20" ht="14" customHeight="1">
      <c r="A20" s="241" t="n"/>
      <c r="D20" s="242" t="n"/>
      <c r="E20" s="241" t="n"/>
      <c r="H20" s="242" t="n"/>
    </row>
    <row r="21" ht="14" customHeight="1">
      <c r="A21" s="241" t="n"/>
      <c r="D21" s="242" t="n"/>
      <c r="E21" s="241" t="n"/>
      <c r="H21" s="242" t="n"/>
    </row>
    <row r="22" ht="14" customHeight="1">
      <c r="A22" s="241" t="n"/>
      <c r="D22" s="242" t="n"/>
      <c r="E22" s="241" t="n"/>
      <c r="H22" s="242" t="n"/>
    </row>
    <row r="23" ht="14" customHeight="1">
      <c r="A23" s="241" t="n"/>
      <c r="D23" s="242" t="n"/>
      <c r="E23" s="241" t="n"/>
      <c r="H23" s="242" t="n"/>
    </row>
    <row r="24" ht="14" customHeight="1">
      <c r="A24" s="241" t="n"/>
      <c r="D24" s="242" t="n"/>
      <c r="E24" s="241" t="n"/>
      <c r="H24" s="242" t="n"/>
    </row>
    <row r="25" ht="14" customHeight="1">
      <c r="A25" s="243" t="n"/>
      <c r="B25" s="244" t="n"/>
      <c r="C25" s="244" t="n"/>
      <c r="D25" s="245" t="n"/>
      <c r="E25" s="243" t="n"/>
      <c r="F25" s="244" t="n"/>
      <c r="G25" s="244" t="n"/>
      <c r="H25" s="245" t="n"/>
    </row>
  </sheetData>
  <mergeCells count="12">
    <mergeCell ref="A5:D13"/>
    <mergeCell ref="E5:H13"/>
    <mergeCell ref="I5:L13"/>
    <mergeCell ref="A17:D25"/>
    <mergeCell ref="A4:D4"/>
    <mergeCell ref="E17:H25"/>
    <mergeCell ref="E4:H4"/>
    <mergeCell ref="I4:L4"/>
    <mergeCell ref="A2:K2"/>
    <mergeCell ref="E16:H16"/>
    <mergeCell ref="A16:D16"/>
    <mergeCell ref="A1:K1"/>
  </mergeCells>
  <pageMargins left="0.75" right="0.75" top="1" bottom="1" header="0.5" footer="0.5"/>
</worksheet>
</file>

<file path=xl/worksheets/sheet18.xml><?xml version="1.0" encoding="utf-8"?>
<worksheet xmlns="http://schemas.openxmlformats.org/spreadsheetml/2006/main">
  <sheetPr>
    <tabColor rgb="0000695C"/>
    <outlinePr summaryBelow="1" summaryRight="1"/>
    <pageSetUpPr/>
  </sheetPr>
  <dimension ref="A1:L25"/>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2" customHeight="1">
      <c r="A1" s="195" t="inlineStr">
        <is>
          <t>🗺️  DASHBOARD GEOGRÁFICO</t>
        </is>
      </c>
    </row>
    <row r="2" ht="16" customHeight="1">
      <c r="A2" s="168" t="inlineStr">
        <is>
          <t>Conectar con tablas maestras · Usar Tablas Dinámicas o Power Query · Exportable a Looker Studio / Power BI</t>
        </is>
      </c>
    </row>
    <row r="4" ht="20" customHeight="1">
      <c r="A4" s="196" t="inlineStr">
        <is>
          <t>VENTAS POR DEPARTAMENTO</t>
        </is>
      </c>
      <c r="B4" s="40" t="n"/>
      <c r="C4" s="40" t="n"/>
      <c r="D4" s="41" t="n"/>
      <c r="E4" s="196" t="inlineStr">
        <is>
          <t>TOP CIUDADES</t>
        </is>
      </c>
      <c r="F4" s="40" t="n"/>
      <c r="G4" s="40" t="n"/>
      <c r="H4" s="41" t="n"/>
      <c r="I4" s="196" t="inlineStr">
        <is>
          <t>MAPA DE CALOR UY</t>
        </is>
      </c>
      <c r="J4" s="40" t="n"/>
      <c r="K4" s="40" t="n"/>
      <c r="L4" s="41" t="n"/>
    </row>
    <row r="5" ht="14" customHeight="1">
      <c r="A5" s="197">
        <f>SUMIF(TBL_Ventas[Canal via JOIN Ciudad],...)
Tabla Dinámica TBL_Clientes + TBL_Ventas</f>
        <v/>
      </c>
      <c r="B5" s="239" t="n"/>
      <c r="C5" s="239" t="n"/>
      <c r="D5" s="240" t="n"/>
      <c r="E5" s="197" t="inlineStr">
        <is>
          <t>SUMIF con ciudad del cliente</t>
        </is>
      </c>
      <c r="F5" s="239" t="n"/>
      <c r="G5" s="239" t="n"/>
      <c r="H5" s="240" t="n"/>
      <c r="I5" s="197" t="inlineStr">
        <is>
          <t>Exportar tabla a Looker Studio / Power BI
para mapa coroplético de Uruguay</t>
        </is>
      </c>
      <c r="J5" s="239" t="n"/>
      <c r="K5" s="239" t="n"/>
      <c r="L5" s="240" t="n"/>
    </row>
    <row r="6" ht="14" customHeight="1">
      <c r="A6" s="241" t="n"/>
      <c r="D6" s="242" t="n"/>
      <c r="E6" s="241" t="n"/>
      <c r="H6" s="242" t="n"/>
      <c r="I6" s="241" t="n"/>
      <c r="L6" s="242" t="n"/>
    </row>
    <row r="7" ht="14" customHeight="1">
      <c r="A7" s="241" t="n"/>
      <c r="D7" s="242" t="n"/>
      <c r="E7" s="241" t="n"/>
      <c r="H7" s="242" t="n"/>
      <c r="I7" s="241" t="n"/>
      <c r="L7" s="242" t="n"/>
    </row>
    <row r="8" ht="14" customHeight="1">
      <c r="A8" s="241" t="n"/>
      <c r="D8" s="242" t="n"/>
      <c r="E8" s="241" t="n"/>
      <c r="H8" s="242" t="n"/>
      <c r="I8" s="241" t="n"/>
      <c r="L8" s="242" t="n"/>
    </row>
    <row r="9" ht="14" customHeight="1">
      <c r="A9" s="241" t="n"/>
      <c r="D9" s="242" t="n"/>
      <c r="E9" s="241" t="n"/>
      <c r="H9" s="242" t="n"/>
      <c r="I9" s="241" t="n"/>
      <c r="L9" s="242" t="n"/>
    </row>
    <row r="10" ht="14" customHeight="1">
      <c r="A10" s="241" t="n"/>
      <c r="D10" s="242" t="n"/>
      <c r="E10" s="241" t="n"/>
      <c r="H10" s="242" t="n"/>
      <c r="I10" s="241" t="n"/>
      <c r="L10" s="242" t="n"/>
    </row>
    <row r="11" ht="14" customHeight="1">
      <c r="A11" s="241" t="n"/>
      <c r="D11" s="242" t="n"/>
      <c r="E11" s="241" t="n"/>
      <c r="H11" s="242" t="n"/>
      <c r="I11" s="241" t="n"/>
      <c r="L11" s="242" t="n"/>
    </row>
    <row r="12" ht="14" customHeight="1">
      <c r="A12" s="241" t="n"/>
      <c r="D12" s="242" t="n"/>
      <c r="E12" s="241" t="n"/>
      <c r="H12" s="242" t="n"/>
      <c r="I12" s="241" t="n"/>
      <c r="L12" s="242" t="n"/>
    </row>
    <row r="13" ht="14" customHeight="1">
      <c r="A13" s="243" t="n"/>
      <c r="B13" s="244" t="n"/>
      <c r="C13" s="244" t="n"/>
      <c r="D13" s="245" t="n"/>
      <c r="E13" s="243" t="n"/>
      <c r="F13" s="244" t="n"/>
      <c r="G13" s="244" t="n"/>
      <c r="H13" s="245" t="n"/>
      <c r="I13" s="243" t="n"/>
      <c r="J13" s="244" t="n"/>
      <c r="K13" s="244" t="n"/>
      <c r="L13" s="245" t="n"/>
    </row>
    <row r="16" ht="20" customHeight="1">
      <c r="A16" s="196" t="inlineStr">
        <is>
          <t>COSTO LOGÍSTICO POR ZONA</t>
        </is>
      </c>
      <c r="B16" s="40" t="n"/>
      <c r="C16" s="40" t="n"/>
      <c r="D16" s="41" t="n"/>
      <c r="E16" s="196" t="inlineStr">
        <is>
          <t>RENTABILIDAD POR REGIÓN</t>
        </is>
      </c>
      <c r="F16" s="40" t="n"/>
      <c r="G16" s="40" t="n"/>
      <c r="H16" s="41" t="n"/>
    </row>
    <row r="17" ht="14" customHeight="1">
      <c r="A17" s="197" t="inlineStr">
        <is>
          <t>SUMIF(TBL_Envios[Departamento],...,TBL_Envios[Costo])</t>
        </is>
      </c>
      <c r="B17" s="239" t="n"/>
      <c r="C17" s="239" t="n"/>
      <c r="D17" s="240" t="n"/>
      <c r="E17" s="197" t="inlineStr">
        <is>
          <t>Facturación - Costo Envío por departamento</t>
        </is>
      </c>
      <c r="F17" s="239" t="n"/>
      <c r="G17" s="239" t="n"/>
      <c r="H17" s="240" t="n"/>
    </row>
    <row r="18" ht="14" customHeight="1">
      <c r="A18" s="241" t="n"/>
      <c r="D18" s="242" t="n"/>
      <c r="E18" s="241" t="n"/>
      <c r="H18" s="242" t="n"/>
    </row>
    <row r="19" ht="14" customHeight="1">
      <c r="A19" s="241" t="n"/>
      <c r="D19" s="242" t="n"/>
      <c r="E19" s="241" t="n"/>
      <c r="H19" s="242" t="n"/>
    </row>
    <row r="20" ht="14" customHeight="1">
      <c r="A20" s="241" t="n"/>
      <c r="D20" s="242" t="n"/>
      <c r="E20" s="241" t="n"/>
      <c r="H20" s="242" t="n"/>
    </row>
    <row r="21" ht="14" customHeight="1">
      <c r="A21" s="241" t="n"/>
      <c r="D21" s="242" t="n"/>
      <c r="E21" s="241" t="n"/>
      <c r="H21" s="242" t="n"/>
    </row>
    <row r="22" ht="14" customHeight="1">
      <c r="A22" s="241" t="n"/>
      <c r="D22" s="242" t="n"/>
      <c r="E22" s="241" t="n"/>
      <c r="H22" s="242" t="n"/>
    </row>
    <row r="23" ht="14" customHeight="1">
      <c r="A23" s="241" t="n"/>
      <c r="D23" s="242" t="n"/>
      <c r="E23" s="241" t="n"/>
      <c r="H23" s="242" t="n"/>
    </row>
    <row r="24" ht="14" customHeight="1">
      <c r="A24" s="241" t="n"/>
      <c r="D24" s="242" t="n"/>
      <c r="E24" s="241" t="n"/>
      <c r="H24" s="242" t="n"/>
    </row>
    <row r="25" ht="14" customHeight="1">
      <c r="A25" s="243" t="n"/>
      <c r="B25" s="244" t="n"/>
      <c r="C25" s="244" t="n"/>
      <c r="D25" s="245" t="n"/>
      <c r="E25" s="243" t="n"/>
      <c r="F25" s="244" t="n"/>
      <c r="G25" s="244" t="n"/>
      <c r="H25" s="245" t="n"/>
    </row>
  </sheetData>
  <mergeCells count="12">
    <mergeCell ref="A5:D13"/>
    <mergeCell ref="E5:H13"/>
    <mergeCell ref="I5:L13"/>
    <mergeCell ref="A17:D25"/>
    <mergeCell ref="A4:D4"/>
    <mergeCell ref="E17:H25"/>
    <mergeCell ref="E4:H4"/>
    <mergeCell ref="I4:L4"/>
    <mergeCell ref="A2:K2"/>
    <mergeCell ref="E16:H16"/>
    <mergeCell ref="A16:D16"/>
    <mergeCell ref="A1:K1"/>
  </mergeCells>
  <pageMargins left="0.75" right="0.75" top="1" bottom="1" header="0.5" footer="0.5"/>
</worksheet>
</file>

<file path=xl/worksheets/sheet19.xml><?xml version="1.0" encoding="utf-8"?>
<worksheet xmlns="http://schemas.openxmlformats.org/spreadsheetml/2006/main">
  <sheetPr>
    <tabColor rgb="00E65100"/>
    <outlinePr summaryBelow="1" summaryRight="1"/>
    <pageSetUpPr/>
  </sheetPr>
  <dimension ref="A1:L25"/>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2" customHeight="1">
      <c r="A1" s="198" t="inlineStr">
        <is>
          <t>📣  DASHBOARD MARKETING</t>
        </is>
      </c>
    </row>
    <row r="2" ht="16" customHeight="1">
      <c r="A2" s="168" t="inlineStr">
        <is>
          <t>Conectar con tablas maestras · Usar Tablas Dinámicas o Power Query · Exportable a Looker Studio / Power BI</t>
        </is>
      </c>
    </row>
    <row r="4" ht="20" customHeight="1">
      <c r="A4" s="199" t="inlineStr">
        <is>
          <t>INVERSIÓN vs RETORNO</t>
        </is>
      </c>
      <c r="B4" s="40" t="n"/>
      <c r="C4" s="40" t="n"/>
      <c r="D4" s="41" t="n"/>
      <c r="E4" s="199" t="inlineStr">
        <is>
          <t>CPL — COSTO POR LEAD</t>
        </is>
      </c>
      <c r="F4" s="40" t="n"/>
      <c r="G4" s="40" t="n"/>
      <c r="H4" s="41" t="n"/>
      <c r="I4" s="199" t="inlineStr">
        <is>
          <t>CAC — COSTO ADQUISICIÓN CLIENTE</t>
        </is>
      </c>
      <c r="J4" s="40" t="n"/>
      <c r="K4" s="40" t="n"/>
      <c r="L4" s="41" t="n"/>
    </row>
    <row r="5" ht="14" customHeight="1">
      <c r="A5" s="200" t="inlineStr">
        <is>
          <t>Gráfico Doble Eje: Inversión (barras) + ROAS (línea)
Datos desde TBL_Publicidad</t>
        </is>
      </c>
      <c r="B5" s="239" t="n"/>
      <c r="C5" s="239" t="n"/>
      <c r="D5" s="240" t="n"/>
      <c r="E5" s="200">
        <f>SUMIF(Canal,TBL_Publicidad[Inversión])/COUNTIF(TBL_Leads[Canal],Canal)</f>
        <v/>
      </c>
      <c r="F5" s="239" t="n"/>
      <c r="G5" s="239" t="n"/>
      <c r="H5" s="240" t="n"/>
      <c r="I5" s="200">
        <f>SUM(TBL_Publicidad[Inversión])/COUNTA(TBL_Clientes[ID Cliente])</f>
        <v/>
      </c>
      <c r="J5" s="239" t="n"/>
      <c r="K5" s="239" t="n"/>
      <c r="L5" s="240" t="n"/>
    </row>
    <row r="6" ht="14" customHeight="1">
      <c r="A6" s="241" t="n"/>
      <c r="D6" s="242" t="n"/>
      <c r="E6" s="241" t="n"/>
      <c r="H6" s="242" t="n"/>
      <c r="I6" s="241" t="n"/>
      <c r="L6" s="242" t="n"/>
    </row>
    <row r="7" ht="14" customHeight="1">
      <c r="A7" s="241" t="n"/>
      <c r="D7" s="242" t="n"/>
      <c r="E7" s="241" t="n"/>
      <c r="H7" s="242" t="n"/>
      <c r="I7" s="241" t="n"/>
      <c r="L7" s="242" t="n"/>
    </row>
    <row r="8" ht="14" customHeight="1">
      <c r="A8" s="241" t="n"/>
      <c r="D8" s="242" t="n"/>
      <c r="E8" s="241" t="n"/>
      <c r="H8" s="242" t="n"/>
      <c r="I8" s="241" t="n"/>
      <c r="L8" s="242" t="n"/>
    </row>
    <row r="9" ht="14" customHeight="1">
      <c r="A9" s="241" t="n"/>
      <c r="D9" s="242" t="n"/>
      <c r="E9" s="241" t="n"/>
      <c r="H9" s="242" t="n"/>
      <c r="I9" s="241" t="n"/>
      <c r="L9" s="242" t="n"/>
    </row>
    <row r="10" ht="14" customHeight="1">
      <c r="A10" s="241" t="n"/>
      <c r="D10" s="242" t="n"/>
      <c r="E10" s="241" t="n"/>
      <c r="H10" s="242" t="n"/>
      <c r="I10" s="241" t="n"/>
      <c r="L10" s="242" t="n"/>
    </row>
    <row r="11" ht="14" customHeight="1">
      <c r="A11" s="241" t="n"/>
      <c r="D11" s="242" t="n"/>
      <c r="E11" s="241" t="n"/>
      <c r="H11" s="242" t="n"/>
      <c r="I11" s="241" t="n"/>
      <c r="L11" s="242" t="n"/>
    </row>
    <row r="12" ht="14" customHeight="1">
      <c r="A12" s="241" t="n"/>
      <c r="D12" s="242" t="n"/>
      <c r="E12" s="241" t="n"/>
      <c r="H12" s="242" t="n"/>
      <c r="I12" s="241" t="n"/>
      <c r="L12" s="242" t="n"/>
    </row>
    <row r="13" ht="14" customHeight="1">
      <c r="A13" s="243" t="n"/>
      <c r="B13" s="244" t="n"/>
      <c r="C13" s="244" t="n"/>
      <c r="D13" s="245" t="n"/>
      <c r="E13" s="243" t="n"/>
      <c r="F13" s="244" t="n"/>
      <c r="G13" s="244" t="n"/>
      <c r="H13" s="245" t="n"/>
      <c r="I13" s="243" t="n"/>
      <c r="J13" s="244" t="n"/>
      <c r="K13" s="244" t="n"/>
      <c r="L13" s="245" t="n"/>
    </row>
    <row r="16" ht="20" customHeight="1">
      <c r="A16" s="199" t="inlineStr">
        <is>
          <t>ROAS POR CAMPAÑA</t>
        </is>
      </c>
      <c r="B16" s="40" t="n"/>
      <c r="C16" s="40" t="n"/>
      <c r="D16" s="41" t="n"/>
      <c r="E16" s="199" t="inlineStr">
        <is>
          <t>CTR Y CONVERSIÓN EMBUDO ADS</t>
        </is>
      </c>
      <c r="F16" s="40" t="n"/>
      <c r="G16" s="40" t="n"/>
      <c r="H16" s="41" t="n"/>
    </row>
    <row r="17" ht="14" customHeight="1">
      <c r="A17" s="200">
        <f>TBL_Publicidad[Facturación atribuida]/TBL_Publicidad[Inversión]
Formato condicional: rojo&lt;2, amarillo&lt;4, verde≥4</f>
        <v/>
      </c>
      <c r="B17" s="239" t="n"/>
      <c r="C17" s="239" t="n"/>
      <c r="D17" s="240" t="n"/>
      <c r="E17" s="200" t="inlineStr">
        <is>
          <t>Alcance→Click→Consulta→Lead→Venta
Mini embudo por campaña</t>
        </is>
      </c>
      <c r="F17" s="239" t="n"/>
      <c r="G17" s="239" t="n"/>
      <c r="H17" s="240" t="n"/>
    </row>
    <row r="18" ht="14" customHeight="1">
      <c r="A18" s="241" t="n"/>
      <c r="D18" s="242" t="n"/>
      <c r="E18" s="241" t="n"/>
      <c r="H18" s="242" t="n"/>
    </row>
    <row r="19" ht="14" customHeight="1">
      <c r="A19" s="241" t="n"/>
      <c r="D19" s="242" t="n"/>
      <c r="E19" s="241" t="n"/>
      <c r="H19" s="242" t="n"/>
    </row>
    <row r="20" ht="14" customHeight="1">
      <c r="A20" s="241" t="n"/>
      <c r="D20" s="242" t="n"/>
      <c r="E20" s="241" t="n"/>
      <c r="H20" s="242" t="n"/>
    </row>
    <row r="21" ht="14" customHeight="1">
      <c r="A21" s="241" t="n"/>
      <c r="D21" s="242" t="n"/>
      <c r="E21" s="241" t="n"/>
      <c r="H21" s="242" t="n"/>
    </row>
    <row r="22" ht="14" customHeight="1">
      <c r="A22" s="241" t="n"/>
      <c r="D22" s="242" t="n"/>
      <c r="E22" s="241" t="n"/>
      <c r="H22" s="242" t="n"/>
    </row>
    <row r="23" ht="14" customHeight="1">
      <c r="A23" s="241" t="n"/>
      <c r="D23" s="242" t="n"/>
      <c r="E23" s="241" t="n"/>
      <c r="H23" s="242" t="n"/>
    </row>
    <row r="24" ht="14" customHeight="1">
      <c r="A24" s="241" t="n"/>
      <c r="D24" s="242" t="n"/>
      <c r="E24" s="241" t="n"/>
      <c r="H24" s="242" t="n"/>
    </row>
    <row r="25" ht="14" customHeight="1">
      <c r="A25" s="243" t="n"/>
      <c r="B25" s="244" t="n"/>
      <c r="C25" s="244" t="n"/>
      <c r="D25" s="245" t="n"/>
      <c r="E25" s="243" t="n"/>
      <c r="F25" s="244" t="n"/>
      <c r="G25" s="244" t="n"/>
      <c r="H25" s="245" t="n"/>
    </row>
  </sheetData>
  <mergeCells count="12">
    <mergeCell ref="A5:D13"/>
    <mergeCell ref="E5:H13"/>
    <mergeCell ref="I5:L13"/>
    <mergeCell ref="A17:D25"/>
    <mergeCell ref="A4:D4"/>
    <mergeCell ref="E17:H25"/>
    <mergeCell ref="E4:H4"/>
    <mergeCell ref="I4:L4"/>
    <mergeCell ref="A2:K2"/>
    <mergeCell ref="E16:H16"/>
    <mergeCell ref="A16:D16"/>
    <mergeCell ref="A1:K1"/>
  </mergeCells>
  <pageMargins left="0.75" right="0.75" top="1" bottom="1" header="0.5" footer="0.5"/>
</worksheet>
</file>

<file path=xl/worksheets/sheet20.xml><?xml version="1.0" encoding="utf-8"?>
<worksheet xmlns="http://schemas.openxmlformats.org/spreadsheetml/2006/main">
  <sheetPr>
    <tabColor rgb="00E31837"/>
    <outlinePr summaryBelow="1" summaryRight="1"/>
    <pageSetUpPr/>
  </sheetPr>
  <dimension ref="A1:N37"/>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2" customHeight="1">
      <c r="A1" s="201" t="inlineStr">
        <is>
          <t>🤖  DASHBOARD PITBOT — IA METRICS</t>
        </is>
      </c>
    </row>
    <row r="2" ht="16" customHeight="1">
      <c r="A2" s="168" t="inlineStr">
        <is>
          <t>Conectar con tablas maestras · Usar Tablas Dinámicas o Power Query · Exportable a Looker Studio / Power BI</t>
        </is>
      </c>
    </row>
    <row r="4" ht="20" customHeight="1">
      <c r="A4" s="141" t="inlineStr">
        <is>
          <t>CONVERSACIONES POR CANAL</t>
        </is>
      </c>
      <c r="B4" s="40" t="n"/>
      <c r="C4" s="40" t="n"/>
      <c r="D4" s="41" t="n"/>
      <c r="E4" s="141" t="inlineStr">
        <is>
          <t>TASA DE RESOLUCIÓN</t>
        </is>
      </c>
      <c r="F4" s="40" t="n"/>
      <c r="G4" s="40" t="n"/>
      <c r="H4" s="41" t="n"/>
      <c r="I4" s="141" t="inlineStr">
        <is>
          <t>TASA DE CONVERSIÓN A VENTA</t>
        </is>
      </c>
      <c r="J4" s="40" t="n"/>
      <c r="K4" s="40" t="n"/>
      <c r="L4" s="41" t="n"/>
    </row>
    <row r="5" ht="14" customHeight="1">
      <c r="A5" s="202" t="inlineStr">
        <is>
          <t>COUNTIF(TBL_PitBot[Canal],canal)
Gráfico barras horizontales</t>
        </is>
      </c>
      <c r="B5" s="239" t="n"/>
      <c r="C5" s="239" t="n"/>
      <c r="D5" s="240" t="n"/>
      <c r="E5" s="202" t="inlineStr">
        <is>
          <t>COUNTIF(Resultado,"Resuelto")/COUNTA(Resultado)</t>
        </is>
      </c>
      <c r="F5" s="239" t="n"/>
      <c r="G5" s="239" t="n"/>
      <c r="H5" s="240" t="n"/>
      <c r="I5" s="202" t="inlineStr">
        <is>
          <t>COUNTIF(Resultado,"Venta")/COUNTA(Resultado)</t>
        </is>
      </c>
      <c r="J5" s="239" t="n"/>
      <c r="K5" s="239" t="n"/>
      <c r="L5" s="240" t="n"/>
    </row>
    <row r="6" ht="14" customHeight="1">
      <c r="A6" s="241" t="n"/>
      <c r="D6" s="242" t="n"/>
      <c r="E6" s="241" t="n"/>
      <c r="H6" s="242" t="n"/>
      <c r="I6" s="241" t="n"/>
      <c r="L6" s="242" t="n"/>
    </row>
    <row r="7" ht="14" customHeight="1">
      <c r="A7" s="241" t="n"/>
      <c r="D7" s="242" t="n"/>
      <c r="E7" s="241" t="n"/>
      <c r="H7" s="242" t="n"/>
      <c r="I7" s="241" t="n"/>
      <c r="L7" s="242" t="n"/>
    </row>
    <row r="8" ht="14" customHeight="1">
      <c r="A8" s="241" t="n"/>
      <c r="D8" s="242" t="n"/>
      <c r="E8" s="241" t="n"/>
      <c r="H8" s="242" t="n"/>
      <c r="I8" s="241" t="n"/>
      <c r="L8" s="242" t="n"/>
    </row>
    <row r="9" ht="14" customHeight="1">
      <c r="A9" s="241" t="n"/>
      <c r="D9" s="242" t="n"/>
      <c r="E9" s="241" t="n"/>
      <c r="H9" s="242" t="n"/>
      <c r="I9" s="241" t="n"/>
      <c r="L9" s="242" t="n"/>
    </row>
    <row r="10" ht="14" customHeight="1">
      <c r="A10" s="241" t="n"/>
      <c r="D10" s="242" t="n"/>
      <c r="E10" s="241" t="n"/>
      <c r="H10" s="242" t="n"/>
      <c r="I10" s="241" t="n"/>
      <c r="L10" s="242" t="n"/>
    </row>
    <row r="11" ht="14" customHeight="1">
      <c r="A11" s="241" t="n"/>
      <c r="D11" s="242" t="n"/>
      <c r="E11" s="241" t="n"/>
      <c r="H11" s="242" t="n"/>
      <c r="I11" s="241" t="n"/>
      <c r="L11" s="242" t="n"/>
    </row>
    <row r="12" ht="14" customHeight="1">
      <c r="A12" s="241" t="n"/>
      <c r="D12" s="242" t="n"/>
      <c r="E12" s="241" t="n"/>
      <c r="H12" s="242" t="n"/>
      <c r="I12" s="241" t="n"/>
      <c r="L12" s="242" t="n"/>
    </row>
    <row r="13" ht="14" customHeight="1">
      <c r="A13" s="243" t="n"/>
      <c r="B13" s="244" t="n"/>
      <c r="C13" s="244" t="n"/>
      <c r="D13" s="245" t="n"/>
      <c r="E13" s="243" t="n"/>
      <c r="F13" s="244" t="n"/>
      <c r="G13" s="244" t="n"/>
      <c r="H13" s="245" t="n"/>
      <c r="I13" s="243" t="n"/>
      <c r="J13" s="244" t="n"/>
      <c r="K13" s="244" t="n"/>
      <c r="L13" s="245" t="n"/>
    </row>
    <row r="16" ht="20" customHeight="1">
      <c r="A16" s="141" t="inlineStr">
        <is>
          <t>TIEMPO MEDIO DE RESPUESTA</t>
        </is>
      </c>
      <c r="B16" s="40" t="n"/>
      <c r="C16" s="40" t="n"/>
      <c r="D16" s="41" t="n"/>
      <c r="E16" s="141" t="inlineStr">
        <is>
          <t>CATEGORÍAS MÁS CONSULTADAS</t>
        </is>
      </c>
      <c r="F16" s="40" t="n"/>
      <c r="G16" s="40" t="n"/>
      <c r="H16" s="41" t="n"/>
      <c r="I16" s="141" t="inlineStr">
        <is>
          <t>SATISFACCIÓN PROMEDIO</t>
        </is>
      </c>
      <c r="J16" s="40" t="n"/>
      <c r="K16" s="40" t="n"/>
      <c r="L16" s="41" t="n"/>
    </row>
    <row r="17" ht="14" customHeight="1">
      <c r="A17" s="202">
        <f>AVERAGE(TBL_PitBot[Tiempo Resp.(min)])</f>
        <v/>
      </c>
      <c r="B17" s="239" t="n"/>
      <c r="C17" s="239" t="n"/>
      <c r="D17" s="240" t="n"/>
      <c r="E17" s="202" t="inlineStr">
        <is>
          <t>COUNTIF por Categoría — Gráfico Donut</t>
        </is>
      </c>
      <c r="F17" s="239" t="n"/>
      <c r="G17" s="239" t="n"/>
      <c r="H17" s="240" t="n"/>
      <c r="I17" s="202">
        <f>AVERAGEIF(TBL_PitBot[Satisfacción],"&gt;0")</f>
        <v/>
      </c>
      <c r="J17" s="239" t="n"/>
      <c r="K17" s="239" t="n"/>
      <c r="L17" s="240" t="n"/>
    </row>
    <row r="18" ht="14" customHeight="1">
      <c r="A18" s="241" t="n"/>
      <c r="D18" s="242" t="n"/>
      <c r="E18" s="241" t="n"/>
      <c r="H18" s="242" t="n"/>
      <c r="I18" s="241" t="n"/>
      <c r="L18" s="242" t="n"/>
    </row>
    <row r="19" ht="14" customHeight="1">
      <c r="A19" s="241" t="n"/>
      <c r="D19" s="242" t="n"/>
      <c r="E19" s="241" t="n"/>
      <c r="H19" s="242" t="n"/>
      <c r="I19" s="241" t="n"/>
      <c r="L19" s="242" t="n"/>
    </row>
    <row r="20" ht="14" customHeight="1">
      <c r="A20" s="241" t="n"/>
      <c r="D20" s="242" t="n"/>
      <c r="E20" s="241" t="n"/>
      <c r="H20" s="242" t="n"/>
      <c r="I20" s="241" t="n"/>
      <c r="L20" s="242" t="n"/>
    </row>
    <row r="21" ht="14" customHeight="1">
      <c r="A21" s="241" t="n"/>
      <c r="D21" s="242" t="n"/>
      <c r="E21" s="241" t="n"/>
      <c r="H21" s="242" t="n"/>
      <c r="I21" s="241" t="n"/>
      <c r="L21" s="242" t="n"/>
    </row>
    <row r="22" ht="14" customHeight="1">
      <c r="A22" s="241" t="n"/>
      <c r="D22" s="242" t="n"/>
      <c r="E22" s="241" t="n"/>
      <c r="H22" s="242" t="n"/>
      <c r="I22" s="241" t="n"/>
      <c r="L22" s="242" t="n"/>
    </row>
    <row r="23" ht="14" customHeight="1">
      <c r="A23" s="241" t="n"/>
      <c r="D23" s="242" t="n"/>
      <c r="E23" s="241" t="n"/>
      <c r="H23" s="242" t="n"/>
      <c r="I23" s="241" t="n"/>
      <c r="L23" s="242" t="n"/>
    </row>
    <row r="24" ht="14" customHeight="1">
      <c r="A24" s="241" t="n"/>
      <c r="D24" s="242" t="n"/>
      <c r="E24" s="241" t="n"/>
      <c r="H24" s="242" t="n"/>
      <c r="I24" s="241" t="n"/>
      <c r="L24" s="242" t="n"/>
    </row>
    <row r="25" ht="14" customHeight="1">
      <c r="A25" s="243" t="n"/>
      <c r="B25" s="244" t="n"/>
      <c r="C25" s="244" t="n"/>
      <c r="D25" s="245" t="n"/>
      <c r="E25" s="243" t="n"/>
      <c r="F25" s="244" t="n"/>
      <c r="G25" s="244" t="n"/>
      <c r="H25" s="245" t="n"/>
      <c r="I25" s="243" t="n"/>
      <c r="J25" s="244" t="n"/>
      <c r="K25" s="244" t="n"/>
      <c r="L25" s="245" t="n"/>
    </row>
    <row r="28" ht="20" customHeight="1">
      <c r="A28" s="141" t="inlineStr">
        <is>
          <t>FACTURACIÓN ATRIBUIDA PITBOT</t>
        </is>
      </c>
      <c r="B28" s="40" t="n"/>
      <c r="C28" s="40" t="n"/>
      <c r="D28" s="41" t="n"/>
    </row>
    <row r="29" ht="14" customHeight="1">
      <c r="A29" s="202" t="inlineStr">
        <is>
          <t>SUMIF(TBL_Ventas[ID Venta], ventas con origen PitBot)</t>
        </is>
      </c>
      <c r="B29" s="239" t="n"/>
      <c r="C29" s="239" t="n"/>
      <c r="D29" s="240" t="n"/>
    </row>
    <row r="30" ht="14" customHeight="1">
      <c r="A30" s="241" t="n"/>
      <c r="D30" s="242" t="n"/>
    </row>
    <row r="31" ht="14" customHeight="1">
      <c r="A31" s="241" t="n"/>
      <c r="D31" s="242" t="n"/>
    </row>
    <row r="32" ht="14" customHeight="1">
      <c r="A32" s="241" t="n"/>
      <c r="D32" s="242" t="n"/>
    </row>
    <row r="33" ht="14" customHeight="1">
      <c r="A33" s="241" t="n"/>
      <c r="D33" s="242" t="n"/>
    </row>
    <row r="34" ht="14" customHeight="1">
      <c r="A34" s="241" t="n"/>
      <c r="D34" s="242" t="n"/>
    </row>
    <row r="35" ht="14" customHeight="1">
      <c r="A35" s="241" t="n"/>
      <c r="D35" s="242" t="n"/>
    </row>
    <row r="36" ht="14" customHeight="1">
      <c r="A36" s="241" t="n"/>
      <c r="D36" s="242" t="n"/>
    </row>
    <row r="37" ht="14" customHeight="1">
      <c r="A37" s="243" t="n"/>
      <c r="B37" s="244" t="n"/>
      <c r="C37" s="244" t="n"/>
      <c r="D37" s="245" t="n"/>
    </row>
  </sheetData>
  <mergeCells count="16">
    <mergeCell ref="A5:D13"/>
    <mergeCell ref="E5:H13"/>
    <mergeCell ref="I5:L13"/>
    <mergeCell ref="A17:D25"/>
    <mergeCell ref="A4:D4"/>
    <mergeCell ref="E17:H25"/>
    <mergeCell ref="E4:H4"/>
    <mergeCell ref="A2:N2"/>
    <mergeCell ref="I4:L4"/>
    <mergeCell ref="I17:L25"/>
    <mergeCell ref="E16:H16"/>
    <mergeCell ref="I16:L16"/>
    <mergeCell ref="A16:D16"/>
    <mergeCell ref="A29:D37"/>
    <mergeCell ref="A28:D28"/>
    <mergeCell ref="A1:N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2026-06-13T04:30:07Z</dcterms:created>
  <dcterms:modified xsi:type="dcterms:W3CDTF">2026-06-13T18:24:21Z</dcterms:modified>
</cp:coreProperties>
</file>