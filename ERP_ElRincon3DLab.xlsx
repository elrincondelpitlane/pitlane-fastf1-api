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FIGURACION" sheetId="1" state="visible" r:id="rId1"/>
    <sheet name="02_PRODUCTOS" sheetId="2" state="visible" r:id="rId2"/>
    <sheet name="03_CLIENTES" sheetId="3" state="visible" r:id="rId3"/>
    <sheet name="04_LEADS" sheetId="4" state="visible" r:id="rId4"/>
    <sheet name="05_COTIZACIONES" sheetId="5" state="visible" r:id="rId5"/>
    <sheet name="06_VENTAS" sheetId="6" state="visible" r:id="rId6"/>
    <sheet name="07_DETALLE_VENTAS" sheetId="7" state="visible" r:id="rId7"/>
    <sheet name="08_GASTOS" sheetId="8" state="visible" r:id="rId8"/>
    <sheet name="09_PUBLICIDAD" sheetId="9" state="visible" r:id="rId9"/>
    <sheet name="10_ENVIOS" sheetId="10" state="visible" r:id="rId10"/>
    <sheet name="11_INVENTARIO" sheetId="11" state="visible" r:id="rId11"/>
    <sheet name="12_PITBOT" sheetId="12" state="visible" r:id="rId12"/>
    <sheet name="13_EMBUDO" sheetId="13" state="visible" r:id="rId13"/>
    <sheet name="14_PNL_MENSUAL" sheetId="14" state="visible" r:id="rId14"/>
    <sheet name="15_DASHBOARD_EJE" sheetId="15" state="visible" r:id="rId15"/>
    <sheet name="16_DASH_PRODUCTOS" sheetId="16" state="visible" r:id="rId16"/>
    <sheet name="17_DASH_CLIENTES" sheetId="17" state="visible" r:id="rId17"/>
    <sheet name="18_DASH_GEO" sheetId="18" state="visible" r:id="rId18"/>
    <sheet name="19_DASH_MARKETING" sheetId="19" state="visible" r:id="rId19"/>
    <sheet name="20_DASH_PITBO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0.0%"/>
    <numFmt numFmtId="167" formatCode="0.0&quot;%&quot;"/>
  </numFmts>
  <fonts count="4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CCCCC"/>
      <sz val="9"/>
    </font>
    <font>
      <name val="Segoe UI"/>
      <b val="1"/>
      <color rgb="00FFD700"/>
      <sz val="9"/>
    </font>
    <font>
      <name val="Segoe UI"/>
      <b val="1"/>
      <color rgb="0000BCD4"/>
      <sz val="9"/>
    </font>
    <font>
      <name val="Segoe UI"/>
      <color rgb="000D0D0D"/>
      <sz val="9"/>
    </font>
    <font>
      <name val="Segoe UI"/>
      <b val="1"/>
      <color rgb="001A1A2E"/>
      <sz val="10"/>
    </font>
    <font>
      <name val="Segoe UI"/>
      <i val="1"/>
      <color rgb="00555555"/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5E20"/>
      <sz val="9"/>
    </font>
    <font>
      <name val="Segoe UI"/>
      <b val="1"/>
      <color rgb="000D47A1"/>
      <sz val="9"/>
    </font>
    <font>
      <name val="Segoe UI"/>
      <b val="1"/>
      <color rgb="00E65100"/>
      <sz val="9"/>
    </font>
    <font>
      <name val="Segoe UI"/>
      <b val="1"/>
      <color rgb="00B71C1C"/>
      <sz val="9"/>
    </font>
    <font>
      <name val="Segoe UI"/>
      <b val="1"/>
      <color rgb="006A1B9A"/>
      <sz val="9"/>
    </font>
    <font>
      <name val="Segoe UI"/>
      <b val="1"/>
      <color rgb="00F57F17"/>
      <sz val="9"/>
    </font>
    <font>
      <name val="Segoe UI"/>
      <b val="1"/>
      <color rgb="001565C0"/>
      <sz val="9"/>
    </font>
    <font>
      <name val="Segoe UI"/>
      <b val="1"/>
      <color rgb="001565C0"/>
      <sz val="10"/>
    </font>
    <font>
      <name val="Segoe UI"/>
      <b val="1"/>
      <color rgb="001565C0"/>
      <sz val="14"/>
    </font>
    <font>
      <name val="Segoe UI"/>
      <i val="1"/>
      <color rgb="00555555"/>
      <sz val="9"/>
    </font>
    <font>
      <name val="Segoe UI"/>
      <b val="1"/>
      <color rgb="00F57F17"/>
      <sz val="10"/>
    </font>
    <font>
      <name val="Segoe UI"/>
      <b val="1"/>
      <color rgb="00F57F17"/>
      <sz val="14"/>
    </font>
    <font>
      <name val="Segoe UI"/>
      <b val="1"/>
      <color rgb="00E65100"/>
      <sz val="10"/>
    </font>
    <font>
      <name val="Segoe UI"/>
      <b val="1"/>
      <color rgb="00E65100"/>
      <sz val="14"/>
    </font>
    <font>
      <name val="Segoe UI"/>
      <b val="1"/>
      <color rgb="002E7D32"/>
      <sz val="10"/>
    </font>
    <font>
      <name val="Segoe UI"/>
      <b val="1"/>
      <color rgb="002E7D32"/>
      <sz val="14"/>
    </font>
    <font>
      <name val="Segoe UI"/>
      <b val="1"/>
      <color rgb="006A1B9A"/>
      <sz val="10"/>
    </font>
    <font>
      <name val="Segoe UI"/>
      <b val="1"/>
      <color rgb="006A1B9A"/>
      <sz val="14"/>
    </font>
    <font>
      <name val="Segoe UI"/>
      <b val="1"/>
      <color rgb="00FFD700"/>
      <sz val="10"/>
    </font>
    <font>
      <name val="Segoe UI"/>
      <b val="1"/>
      <color rgb="00FFD700"/>
      <sz val="11"/>
    </font>
    <font>
      <name val="Segoe UI"/>
      <color rgb="001A1A2E"/>
      <sz val="9"/>
    </font>
    <font>
      <name val="Segoe UI"/>
      <b val="1"/>
      <color rgb="001A1A2E"/>
      <sz val="9"/>
    </font>
    <font>
      <name val="Segoe UI"/>
      <color rgb="00B71C1C"/>
      <sz val="9"/>
    </font>
    <font>
      <name val="Segoe UI"/>
      <color rgb="001B5E20"/>
      <sz val="9"/>
    </font>
    <font>
      <name val="Segoe UI"/>
      <color rgb="00E65100"/>
      <sz val="9"/>
    </font>
    <font>
      <name val="Segoe UI"/>
      <b val="1"/>
      <color rgb="00BF360C"/>
      <sz val="9"/>
    </font>
    <font>
      <name val="Segoe UI"/>
      <color rgb="0033691E"/>
      <sz val="9"/>
    </font>
    <font>
      <name val="Segoe UI"/>
      <b val="1"/>
      <color rgb="0033691E"/>
      <sz val="9"/>
    </font>
    <font>
      <name val="Segoe UI"/>
      <b val="1"/>
      <color rgb="001B5E20"/>
      <sz val="10"/>
    </font>
    <font>
      <name val="Segoe UI"/>
      <b val="1"/>
      <color rgb="001B5E20"/>
      <sz val="11"/>
    </font>
    <font>
      <name val="Segoe UI"/>
      <b val="1"/>
      <color rgb="00FFFFFF"/>
      <sz val="16"/>
    </font>
    <font>
      <name val="Segoe UI"/>
      <color rgb="00CCCCCC"/>
      <sz val="8"/>
    </font>
    <font>
      <name val="Segoe UI"/>
      <b val="1"/>
      <color rgb="001A1A2E"/>
      <sz val="16"/>
    </font>
    <font>
      <name val="Segoe UI"/>
      <b val="1"/>
      <color rgb="00FFFFFF"/>
      <sz val="8"/>
    </font>
    <font>
      <name val="Segoe UI"/>
      <i val="1"/>
      <color rgb="001A237E"/>
      <sz val="9"/>
    </font>
    <font>
      <name val="Segoe UI"/>
      <color rgb="00263238"/>
      <sz val="9"/>
    </font>
  </fonts>
  <fills count="44">
    <fill>
      <patternFill/>
    </fill>
    <fill>
      <patternFill patternType="gray125"/>
    </fill>
    <fill>
      <patternFill patternType="solid">
        <fgColor rgb="00E31837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0F4FF"/>
      </patternFill>
    </fill>
    <fill>
      <patternFill patternType="solid">
        <fgColor rgb="002E7D32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57F17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6A1B9A"/>
      </patternFill>
    </fill>
    <fill>
      <patternFill patternType="solid">
        <fgColor rgb="000D47A1"/>
      </patternFill>
    </fill>
    <fill>
      <patternFill patternType="solid">
        <fgColor rgb="00B71C1C"/>
      </patternFill>
    </fill>
    <fill>
      <patternFill patternType="solid">
        <fgColor rgb="00E8F5E9"/>
      </patternFill>
    </fill>
    <fill>
      <patternFill patternType="solid">
        <fgColor rgb="00FBE9E7"/>
      </patternFill>
    </fill>
    <fill>
      <patternFill patternType="solid">
        <fgColor rgb="00FFF8E1"/>
      </patternFill>
    </fill>
    <fill>
      <patternFill patternType="solid">
        <fgColor rgb="00E0F7FA"/>
      </patternFill>
    </fill>
    <fill>
      <patternFill patternType="solid">
        <fgColor rgb="00F9FBE7"/>
      </patternFill>
    </fill>
    <fill>
      <patternFill patternType="solid">
        <fgColor rgb="00FCE4EC"/>
      </patternFill>
    </fill>
    <fill>
      <patternFill patternType="solid">
        <fgColor rgb="0000695C"/>
      </patternFill>
    </fill>
    <fill>
      <patternFill patternType="solid">
        <fgColor rgb="004A148C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C5CAE9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CCBC"/>
      </patternFill>
    </fill>
    <fill>
      <patternFill patternType="solid">
        <fgColor rgb="00DCEDC8"/>
      </patternFill>
    </fill>
    <fill>
      <patternFill patternType="solid">
        <fgColor rgb="00006064"/>
      </patternFill>
    </fill>
    <fill>
      <patternFill patternType="solid">
        <fgColor rgb="00BF360C"/>
      </patternFill>
    </fill>
    <fill>
      <patternFill patternType="solid">
        <fgColor rgb="001B5E20"/>
      </patternFill>
    </fill>
    <fill>
      <patternFill patternType="solid">
        <fgColor rgb="00FFD700"/>
      </patternFill>
    </fill>
  </fills>
  <borders count="7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0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4" fontId="6" fillId="6" borderId="2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3" fontId="0" fillId="8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3" fontId="0" fillId="11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right" vertical="center"/>
    </xf>
    <xf numFmtId="164" fontId="0" fillId="10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0" fontId="8" fillId="12" borderId="0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right" vertical="center"/>
    </xf>
    <xf numFmtId="1" fontId="5" fillId="8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center" vertical="center"/>
    </xf>
    <xf numFmtId="1" fontId="5" fillId="11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8" fillId="19" borderId="0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0" fillId="9" borderId="1" applyAlignment="1" pivotButton="0" quotePrefix="0" xfId="0">
      <alignment horizontal="right" vertical="center"/>
    </xf>
    <xf numFmtId="164" fontId="0" fillId="10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/>
    </xf>
    <xf numFmtId="0" fontId="8" fillId="20" borderId="0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3" fontId="5" fillId="11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right" vertical="center"/>
    </xf>
    <xf numFmtId="0" fontId="15" fillId="9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21" borderId="0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165" fontId="5" fillId="22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left" vertical="center"/>
    </xf>
    <xf numFmtId="3" fontId="5" fillId="22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center" vertical="center"/>
    </xf>
    <xf numFmtId="165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3" fontId="5" fillId="18" borderId="1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/>
    </xf>
    <xf numFmtId="165" fontId="5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/>
    </xf>
    <xf numFmtId="3" fontId="5" fillId="23" borderId="1" applyAlignment="1" pivotButton="0" quotePrefix="0" xfId="0">
      <alignment horizontal="right" vertical="center"/>
    </xf>
    <xf numFmtId="0" fontId="5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3" fontId="5" fillId="17" borderId="1" applyAlignment="1" pivotButton="0" quotePrefix="0" xfId="0">
      <alignment horizontal="right" vertical="center"/>
    </xf>
    <xf numFmtId="0" fontId="5" fillId="24" borderId="1" applyAlignment="1" pivotButton="0" quotePrefix="0" xfId="0">
      <alignment horizontal="center" vertical="center"/>
    </xf>
    <xf numFmtId="165" fontId="5" fillId="24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left" vertical="center"/>
    </xf>
    <xf numFmtId="3" fontId="5" fillId="24" borderId="1" applyAlignment="1" pivotButton="0" quotePrefix="0" xfId="0">
      <alignment horizontal="right" vertical="center"/>
    </xf>
    <xf numFmtId="0" fontId="5" fillId="25" borderId="1" applyAlignment="1" pivotButton="0" quotePrefix="0" xfId="0">
      <alignment horizontal="center" vertical="center"/>
    </xf>
    <xf numFmtId="165" fontId="5" fillId="25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left" vertical="center"/>
    </xf>
    <xf numFmtId="3" fontId="5" fillId="25" borderId="1" applyAlignment="1" pivotButton="0" quotePrefix="0" xfId="0">
      <alignment horizontal="right" vertical="center"/>
    </xf>
    <xf numFmtId="0" fontId="5" fillId="26" borderId="1" applyAlignment="1" pivotButton="0" quotePrefix="0" xfId="0">
      <alignment horizontal="center" vertical="center"/>
    </xf>
    <xf numFmtId="165" fontId="5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left" vertical="center"/>
    </xf>
    <xf numFmtId="3" fontId="5" fillId="26" borderId="1" applyAlignment="1" pivotButton="0" quotePrefix="0" xfId="0">
      <alignment horizontal="right" vertical="center"/>
    </xf>
    <xf numFmtId="0" fontId="5" fillId="27" borderId="1" applyAlignment="1" pivotButton="0" quotePrefix="0" xfId="0">
      <alignment horizontal="center" vertical="center"/>
    </xf>
    <xf numFmtId="165" fontId="5" fillId="27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left" vertical="center"/>
    </xf>
    <xf numFmtId="3" fontId="5" fillId="27" borderId="1" applyAlignment="1" pivotButton="0" quotePrefix="0" xfId="0">
      <alignment horizontal="right" vertical="center"/>
    </xf>
    <xf numFmtId="2" fontId="5" fillId="8" borderId="1" applyAlignment="1" pivotButton="0" quotePrefix="0" xfId="0">
      <alignment horizontal="right" vertical="center"/>
    </xf>
    <xf numFmtId="2" fontId="5" fillId="9" borderId="1" applyAlignment="1" pivotButton="0" quotePrefix="0" xfId="0">
      <alignment horizontal="right" vertical="center"/>
    </xf>
    <xf numFmtId="2" fontId="5" fillId="11" borderId="1" applyAlignment="1" pivotButton="0" quotePrefix="0" xfId="0">
      <alignment horizontal="right" vertical="center"/>
    </xf>
    <xf numFmtId="2" fontId="5" fillId="10" borderId="1" applyAlignment="1" pivotButton="0" quotePrefix="0" xfId="0">
      <alignment horizontal="right" vertical="center"/>
    </xf>
    <xf numFmtId="0" fontId="8" fillId="28" borderId="0" applyAlignment="1" pivotButton="0" quotePrefix="0" xfId="0">
      <alignment horizontal="center" vertical="center"/>
    </xf>
    <xf numFmtId="0" fontId="9" fillId="28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8" fillId="29" borderId="0" applyAlignment="1" pivotButton="0" quotePrefix="0" xfId="0">
      <alignment horizontal="center" vertical="center"/>
    </xf>
    <xf numFmtId="0" fontId="9" fillId="29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0" fontId="9" fillId="3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8" fillId="31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9" fillId="31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/>
    </xf>
    <xf numFmtId="3" fontId="18" fillId="18" borderId="2" applyAlignment="1" pivotButton="0" quotePrefix="0" xfId="0">
      <alignment horizontal="center" vertical="center"/>
    </xf>
    <xf numFmtId="166" fontId="0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left" vertical="center"/>
    </xf>
    <xf numFmtId="3" fontId="21" fillId="9" borderId="2" applyAlignment="1" pivotButton="0" quotePrefix="0" xfId="0">
      <alignment horizontal="center" vertical="center"/>
    </xf>
    <xf numFmtId="166" fontId="0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/>
    </xf>
    <xf numFmtId="0" fontId="22" fillId="14" borderId="1" applyAlignment="1" pivotButton="0" quotePrefix="0" xfId="0">
      <alignment horizontal="left" vertical="center"/>
    </xf>
    <xf numFmtId="3" fontId="23" fillId="14" borderId="2" applyAlignment="1" pivotButton="0" quotePrefix="0" xfId="0">
      <alignment horizontal="center" vertical="center"/>
    </xf>
    <xf numFmtId="166" fontId="0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/>
    </xf>
    <xf numFmtId="0" fontId="24" fillId="10" borderId="1" applyAlignment="1" pivotButton="0" quotePrefix="0" xfId="0">
      <alignment horizontal="left" vertical="center"/>
    </xf>
    <xf numFmtId="3" fontId="25" fillId="10" borderId="2" applyAlignment="1" pivotButton="0" quotePrefix="0" xfId="0">
      <alignment horizontal="center" vertical="center"/>
    </xf>
    <xf numFmtId="166" fontId="0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/>
    </xf>
    <xf numFmtId="0" fontId="26" fillId="17" borderId="1" applyAlignment="1" pivotButton="0" quotePrefix="0" xfId="0">
      <alignment horizontal="left" vertical="center"/>
    </xf>
    <xf numFmtId="3" fontId="27" fillId="17" borderId="2" applyAlignment="1" pivotButton="0" quotePrefix="0" xfId="0">
      <alignment horizontal="center" vertical="center"/>
    </xf>
    <xf numFmtId="166" fontId="0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left" vertical="center"/>
    </xf>
    <xf numFmtId="0" fontId="28" fillId="3" borderId="1" applyAlignment="1" pivotButton="0" quotePrefix="0" xfId="0">
      <alignment horizontal="left" vertical="center"/>
    </xf>
    <xf numFmtId="0" fontId="29" fillId="3" borderId="0" applyAlignment="1" pivotButton="0" quotePrefix="0" xfId="0">
      <alignment horizontal="center" vertical="center"/>
    </xf>
    <xf numFmtId="0" fontId="8" fillId="32" borderId="0" applyAlignment="1" pivotButton="0" quotePrefix="0" xfId="0">
      <alignment horizontal="center" vertical="center"/>
    </xf>
    <xf numFmtId="0" fontId="9" fillId="32" borderId="1" applyAlignment="1" pivotButton="0" quotePrefix="0" xfId="0">
      <alignment horizontal="center" vertical="center"/>
    </xf>
    <xf numFmtId="0" fontId="9" fillId="33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left" vertical="center"/>
    </xf>
    <xf numFmtId="0" fontId="30" fillId="34" borderId="1" applyAlignment="1" pivotButton="0" quotePrefix="0" xfId="0">
      <alignment horizontal="left" vertical="center"/>
    </xf>
    <xf numFmtId="3" fontId="30" fillId="34" borderId="1" applyAlignment="1" pivotButton="0" quotePrefix="0" xfId="0">
      <alignment horizontal="right" vertical="center"/>
    </xf>
    <xf numFmtId="3" fontId="31" fillId="34" borderId="2" applyAlignment="1" pivotButton="0" quotePrefix="0" xfId="0">
      <alignment horizontal="right" vertical="center"/>
    </xf>
    <xf numFmtId="0" fontId="31" fillId="35" borderId="1" applyAlignment="1" pivotButton="0" quotePrefix="0" xfId="0">
      <alignment horizontal="left" vertical="center"/>
    </xf>
    <xf numFmtId="3" fontId="31" fillId="35" borderId="1" applyAlignment="1" pivotButton="0" quotePrefix="0" xfId="0">
      <alignment horizontal="right" vertical="center"/>
    </xf>
    <xf numFmtId="0" fontId="32" fillId="36" borderId="1" applyAlignment="1" pivotButton="0" quotePrefix="0" xfId="0">
      <alignment horizontal="left" vertical="center"/>
    </xf>
    <xf numFmtId="3" fontId="32" fillId="36" borderId="1" applyAlignment="1" pivotButton="0" quotePrefix="0" xfId="0">
      <alignment horizontal="right" vertical="center"/>
    </xf>
    <xf numFmtId="3" fontId="13" fillId="36" borderId="2" applyAlignment="1" pivotButton="0" quotePrefix="0" xfId="0">
      <alignment horizontal="right" vertical="center"/>
    </xf>
    <xf numFmtId="0" fontId="10" fillId="22" borderId="1" applyAlignment="1" pivotButton="0" quotePrefix="0" xfId="0">
      <alignment horizontal="left" vertical="center"/>
    </xf>
    <xf numFmtId="3" fontId="10" fillId="22" borderId="1" applyAlignment="1" pivotButton="0" quotePrefix="0" xfId="0">
      <alignment horizontal="right" vertical="center"/>
    </xf>
    <xf numFmtId="0" fontId="33" fillId="22" borderId="1" applyAlignment="1" pivotButton="0" quotePrefix="0" xfId="0">
      <alignment horizontal="left" vertical="center"/>
    </xf>
    <xf numFmtId="167" fontId="33" fillId="22" borderId="1" applyAlignment="1" pivotButton="0" quotePrefix="0" xfId="0">
      <alignment horizontal="right" vertical="center"/>
    </xf>
    <xf numFmtId="0" fontId="34" fillId="37" borderId="1" applyAlignment="1" pivotButton="0" quotePrefix="0" xfId="0">
      <alignment horizontal="left" vertical="center"/>
    </xf>
    <xf numFmtId="3" fontId="34" fillId="37" borderId="1" applyAlignment="1" pivotButton="0" quotePrefix="0" xfId="0">
      <alignment horizontal="right" vertical="center"/>
    </xf>
    <xf numFmtId="3" fontId="12" fillId="37" borderId="2" applyAlignment="1" pivotButton="0" quotePrefix="0" xfId="0">
      <alignment horizontal="right" vertical="center"/>
    </xf>
    <xf numFmtId="0" fontId="35" fillId="38" borderId="1" applyAlignment="1" pivotButton="0" quotePrefix="0" xfId="0">
      <alignment horizontal="left" vertical="center"/>
    </xf>
    <xf numFmtId="3" fontId="35" fillId="38" borderId="1" applyAlignment="1" pivotButton="0" quotePrefix="0" xfId="0">
      <alignment horizontal="right" vertical="center"/>
    </xf>
    <xf numFmtId="3" fontId="38" fillId="22" borderId="2" applyAlignment="1" pivotButton="0" quotePrefix="0" xfId="0">
      <alignment horizontal="right" vertical="center"/>
    </xf>
    <xf numFmtId="3" fontId="33" fillId="22" borderId="1" applyAlignment="1" pivotButton="0" quotePrefix="0" xfId="0">
      <alignment horizontal="right" vertical="center"/>
    </xf>
    <xf numFmtId="3" fontId="10" fillId="22" borderId="2" applyAlignment="1" pivotButton="0" quotePrefix="0" xfId="0">
      <alignment horizontal="right" vertical="center"/>
    </xf>
    <xf numFmtId="0" fontId="10" fillId="10" borderId="1" applyAlignment="1" pivotButton="0" quotePrefix="0" xfId="0">
      <alignment horizontal="left" vertical="center"/>
    </xf>
    <xf numFmtId="3" fontId="39" fillId="10" borderId="2" applyAlignment="1" pivotButton="0" quotePrefix="0" xfId="0">
      <alignment horizontal="right" vertical="center"/>
    </xf>
    <xf numFmtId="0" fontId="36" fillId="39" borderId="1" applyAlignment="1" pivotButton="0" quotePrefix="0" xfId="0">
      <alignment horizontal="left" vertical="center"/>
    </xf>
    <xf numFmtId="167" fontId="37" fillId="39" borderId="1" applyAlignment="1" pivotButton="0" quotePrefix="0" xfId="0">
      <alignment horizontal="right" vertical="center"/>
    </xf>
    <xf numFmtId="0" fontId="40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1" fillId="3" borderId="1" applyAlignment="1" pivotButton="0" quotePrefix="0" xfId="0">
      <alignment horizontal="center" vertical="center"/>
    </xf>
    <xf numFmtId="3" fontId="40" fillId="7" borderId="2" applyAlignment="1" pivotButton="0" quotePrefix="0" xfId="0">
      <alignment horizontal="center" vertical="center"/>
    </xf>
    <xf numFmtId="3" fontId="40" fillId="20" borderId="2" applyAlignment="1" pivotButton="0" quotePrefix="0" xfId="0">
      <alignment horizontal="center" vertical="center"/>
    </xf>
    <xf numFmtId="3" fontId="40" fillId="12" borderId="2" applyAlignment="1" pivotButton="0" quotePrefix="0" xfId="0">
      <alignment horizontal="center" vertical="center"/>
    </xf>
    <xf numFmtId="3" fontId="40" fillId="31" borderId="2" applyAlignment="1" pivotButton="0" quotePrefix="0" xfId="0">
      <alignment horizontal="center" vertical="center"/>
    </xf>
    <xf numFmtId="164" fontId="40" fillId="29" borderId="2" applyAlignment="1" pivotButton="0" quotePrefix="0" xfId="0">
      <alignment horizontal="center" vertical="center"/>
    </xf>
    <xf numFmtId="3" fontId="40" fillId="40" borderId="2" applyAlignment="1" pivotButton="0" quotePrefix="0" xfId="0">
      <alignment horizontal="center" vertical="center"/>
    </xf>
    <xf numFmtId="3" fontId="40" fillId="41" borderId="2" applyAlignment="1" pivotButton="0" quotePrefix="0" xfId="0">
      <alignment horizontal="center" vertical="center"/>
    </xf>
    <xf numFmtId="3" fontId="40" fillId="42" borderId="2" applyAlignment="1" pivotButton="0" quotePrefix="0" xfId="0">
      <alignment horizontal="center" vertical="center"/>
    </xf>
    <xf numFmtId="3" fontId="40" fillId="2" borderId="2" applyAlignment="1" pivotButton="0" quotePrefix="0" xfId="0">
      <alignment horizontal="center" vertical="center"/>
    </xf>
    <xf numFmtId="3" fontId="40" fillId="16" borderId="2" applyAlignment="1" pivotButton="0" quotePrefix="0" xfId="0">
      <alignment horizontal="center" vertical="center"/>
    </xf>
    <xf numFmtId="3" fontId="40" fillId="30" borderId="2" applyAlignment="1" pivotButton="0" quotePrefix="0" xfId="0">
      <alignment horizontal="center" vertical="center"/>
    </xf>
    <xf numFmtId="164" fontId="42" fillId="43" borderId="2" applyAlignment="1" pivotButton="0" quotePrefix="0" xfId="0">
      <alignment horizontal="center" vertical="center"/>
    </xf>
    <xf numFmtId="164" fontId="40" fillId="42" borderId="2" applyAlignment="1" pivotButton="0" quotePrefix="0" xfId="0">
      <alignment horizontal="center" vertical="center"/>
    </xf>
    <xf numFmtId="164" fontId="40" fillId="7" borderId="2" applyAlignment="1" pivotButton="0" quotePrefix="0" xfId="0">
      <alignment horizontal="center" vertical="center"/>
    </xf>
    <xf numFmtId="0" fontId="43" fillId="4" borderId="1" applyAlignment="1" pivotButton="0" quotePrefix="0" xfId="0">
      <alignment horizontal="center" vertical="center"/>
    </xf>
    <xf numFmtId="0" fontId="44" fillId="34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center"/>
    </xf>
    <xf numFmtId="3" fontId="5" fillId="11" borderId="1" applyAlignment="1" pivotButton="0" quotePrefix="0" xfId="0">
      <alignment horizontal="right" vertical="center"/>
    </xf>
    <xf numFmtId="0" fontId="5" fillId="11" borderId="1" pivotButton="0" quotePrefix="0" xfId="0"/>
    <xf numFmtId="0" fontId="1" fillId="7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5" fillId="18" borderId="1" applyAlignment="1" pivotButton="0" quotePrefix="0" xfId="0">
      <alignment horizontal="left" vertical="top" wrapText="1"/>
    </xf>
    <xf numFmtId="0" fontId="1" fillId="12" borderId="0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45" fillId="22" borderId="1" applyAlignment="1" pivotButton="0" quotePrefix="0" xfId="0">
      <alignment horizontal="left" vertical="top" wrapText="1"/>
    </xf>
    <xf numFmtId="0" fontId="1" fillId="28" borderId="0" applyAlignment="1" pivotButton="0" quotePrefix="0" xfId="0">
      <alignment horizontal="center" vertical="center"/>
    </xf>
    <xf numFmtId="0" fontId="9" fillId="28" borderId="1" applyAlignment="1" pivotButton="0" quotePrefix="0" xfId="0">
      <alignment horizontal="center" vertical="center"/>
    </xf>
    <xf numFmtId="0" fontId="45" fillId="25" borderId="1" applyAlignment="1" pivotButton="0" quotePrefix="0" xfId="0">
      <alignment horizontal="left" vertical="top" wrapText="1"/>
    </xf>
    <xf numFmtId="0" fontId="1" fillId="30" borderId="0" applyAlignment="1" pivotButton="0" quotePrefix="0" xfId="0">
      <alignment horizontal="center" vertical="center"/>
    </xf>
    <xf numFmtId="0" fontId="9" fillId="30" borderId="1" applyAlignment="1" pivotButton="0" quotePrefix="0" xfId="0">
      <alignment horizontal="center" vertical="center"/>
    </xf>
    <xf numFmtId="0" fontId="45" fillId="37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45" fillId="3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TBL_Productos" displayName="TBL_Productos" ref="A2:R17" headerRowCount="1">
  <autoFilter ref="A2:R17"/>
  <tableColumns count="18">
    <tableColumn id="1" name="ID"/>
    <tableColumn id="2" name="SKU"/>
    <tableColumn id="3" name="Nombre"/>
    <tableColumn id="4" name="Categoría"/>
    <tableColumn id="5" name="Subcategoría"/>
    <tableColumn id="6" name="Proveedor"/>
    <tableColumn id="7" name="Costo MP"/>
    <tableColumn id="8" name="Costo Imp."/>
    <tableColumn id="9" name="Costo DTF"/>
    <tableColumn id="10" name="Costo Pack."/>
    <tableColumn id="11" name="Costo Envío"/>
    <tableColumn id="12" name="Costo Total"/>
    <tableColumn id="13" name="Precio Venta"/>
    <tableColumn id="14" name="Ganancia"/>
    <tableColumn id="15" name="Margen %"/>
    <tableColumn id="16" name="Peso (g)"/>
    <tableColumn id="17" name="Tiempo Imp.(h)"/>
    <tableColumn id="18" name="Ac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lientes" displayName="TBL_Clientes" ref="A2:T10" headerRowCount="1">
  <autoFilter ref="A2:T10"/>
  <tableColumns count="20">
    <tableColumn id="1" name="ID Cliente"/>
    <tableColumn id="2" name="Nombre"/>
    <tableColumn id="3" name="Apellido"/>
    <tableColumn id="4" name="Teléfono"/>
    <tableColumn id="5" name="Email"/>
    <tableColumn id="6" name="Instagram"/>
    <tableColumn id="7" name="Ciudad"/>
    <tableColumn id="8" name="Departamento"/>
    <tableColumn id="9" name="País"/>
    <tableColumn id="10" name="1ra Compra"/>
    <tableColumn id="11" name="Últ. Compra"/>
    <tableColumn id="12" name="Cant. Pedidos"/>
    <tableColumn id="13" name="Facturación"/>
    <tableColumn id="14" name="Ganancia"/>
    <tableColumn id="15" name="Ticket Prom."/>
    <tableColumn id="16" name="Canal Adq."/>
    <tableColumn id="17" name="Segmento"/>
    <tableColumn id="18" name="R"/>
    <tableColumn id="19" name="F"/>
    <tableColumn id="20" name="M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BL_Leads" displayName="TBL_Leads" ref="A2:L10" headerRowCount="1">
  <autoFilter ref="A2:L10"/>
  <tableColumns count="12">
    <tableColumn id="1" name="ID Lead"/>
    <tableColumn id="2" name="Fecha"/>
    <tableColumn id="3" name="Nombre"/>
    <tableColumn id="4" name="Teléfono"/>
    <tableColumn id="5" name="Instagram"/>
    <tableColumn id="6" name="Canal"/>
    <tableColumn id="7" name="Producto Interés"/>
    <tableColumn id="8" name="Ciudad"/>
    <tableColumn id="9" name="Departamento"/>
    <tableColumn id="10" name="Estado"/>
    <tableColumn id="11" name="Motivo Pérdida"/>
    <tableColumn id="12" name="Nota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BL_Cotizaciones" displayName="TBL_Cotizaciones" ref="A2:K9" headerRowCount="1">
  <autoFilter ref="A2:K9"/>
  <tableColumns count="11">
    <tableColumn id="1" name="ID Cotización"/>
    <tableColumn id="2" name="Fecha"/>
    <tableColumn id="3" name="ID Lead"/>
    <tableColumn id="4" name="Nombre Cliente"/>
    <tableColumn id="5" name="Producto"/>
    <tableColumn id="6" name="Cantidad"/>
    <tableColumn id="7" name="Precio Unit."/>
    <tableColumn id="8" name="Monto Total"/>
    <tableColumn id="9" name="Estado"/>
    <tableColumn id="10" name="Fecha Cierre"/>
    <tableColumn id="11" name="Not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Ventas" displayName="TBL_Ventas" ref="A2:P12" headerRowCount="1">
  <autoFilter ref="A2:P12"/>
  <tableColumns count="16">
    <tableColumn id="1" name="ID Venta"/>
    <tableColumn id="2" name="Fecha"/>
    <tableColumn id="3" name="ID Cliente"/>
    <tableColumn id="4" name="Nombre Cliente"/>
    <tableColumn id="5" name="Canal"/>
    <tableColumn id="6" name="Método Pago"/>
    <tableColumn id="7" name="Estado Pago"/>
    <tableColumn id="8" name="Estado Pedido"/>
    <tableColumn id="9" name="Estado Envío"/>
    <tableColumn id="10" name="Subtotal"/>
    <tableColumn id="11" name="Descuento"/>
    <tableColumn id="12" name="Facturación"/>
    <tableColumn id="13" name="Costo Total"/>
    <tableColumn id="14" name="Ganancia"/>
    <tableColumn id="15" name="Margen %"/>
    <tableColumn id="16" name="Notas"/>
  </tableColumns>
  <tableStyleInfo name="TableStyleMedium2" showRowStripes="1"/>
</table>
</file>

<file path=xl/tables/table6.xml><?xml version="1.0" encoding="utf-8"?>
<table xmlns="http://schemas.openxmlformats.org/spreadsheetml/2006/main" id="6" name="TBL_DetalleVentas" displayName="TBL_DetalleVentas" ref="A2:I13" headerRowCount="1">
  <autoFilter ref="A2:I13"/>
  <tableColumns count="9">
    <tableColumn id="1" name="ID Detalle"/>
    <tableColumn id="2" name="ID Venta"/>
    <tableColumn id="3" name="SKU"/>
    <tableColumn id="4" name="Producto"/>
    <tableColumn id="5" name="Cantidad"/>
    <tableColumn id="6" name="Precio Unit."/>
    <tableColumn id="7" name="Subtotal"/>
    <tableColumn id="8" name="Costo Unit."/>
    <tableColumn id="9" name="Ganancia"/>
  </tableColumns>
  <tableStyleInfo name="TableStyleMedium2" showRowStripes="1"/>
</table>
</file>

<file path=xl/tables/table7.xml><?xml version="1.0" encoding="utf-8"?>
<table xmlns="http://schemas.openxmlformats.org/spreadsheetml/2006/main" id="7" name="TBL_Gastos" displayName="TBL_Gastos" ref="A2:I14" headerRowCount="1">
  <autoFilter ref="A2:I14"/>
  <tableColumns count="9">
    <tableColumn id="1" name="ID"/>
    <tableColumn id="2" name="Fecha"/>
    <tableColumn id="3" name="Categoría"/>
    <tableColumn id="4" name="Subcategoría"/>
    <tableColumn id="5" name="Proveedor"/>
    <tableColumn id="6" name="Descripción"/>
    <tableColumn id="7" name="Monto"/>
    <tableColumn id="8" name="Método Pago"/>
    <tableColumn id="9" name="Comprobante"/>
  </tableColumns>
  <tableStyleInfo name="TableStyleMedium3" showRowStripes="1"/>
</table>
</file>

<file path=xl/tables/table8.xml><?xml version="1.0" encoding="utf-8"?>
<table xmlns="http://schemas.openxmlformats.org/spreadsheetml/2006/main" id="8" name="TBL_Publicidad" displayName="TBL_Publicidad" ref="A2:N8" headerRowCount="1">
  <autoFilter ref="A2:N8"/>
  <tableColumns count="14">
    <tableColumn id="1" name="ID"/>
    <tableColumn id="2" name="Fecha"/>
    <tableColumn id="3" name="Campaña"/>
    <tableColumn id="4" name="Objetivo"/>
    <tableColumn id="5" name="Canal"/>
    <tableColumn id="6" name="Inversión"/>
    <tableColumn id="7" name="Alcance"/>
    <tableColumn id="8" name="Clicks"/>
    <tableColumn id="9" name="CTR %"/>
    <tableColumn id="10" name="Consultas"/>
    <tableColumn id="11" name="Leads"/>
    <tableColumn id="12" name="Ventas"/>
    <tableColumn id="13" name="Facturación"/>
    <tableColumn id="14" name="ROAS"/>
  </tableColumns>
  <tableStyleInfo name="TableStyleMedium2" showRowStripes="1"/>
</table>
</file>

<file path=xl/tables/table9.xml><?xml version="1.0" encoding="utf-8"?>
<table xmlns="http://schemas.openxmlformats.org/spreadsheetml/2006/main" id="9" name="TBL_Envios" displayName="TBL_Envios" ref="A2:K8" headerRowCount="1">
  <autoFilter ref="A2:K8"/>
  <tableColumns count="11">
    <tableColumn id="1" name="ID Envío"/>
    <tableColumn id="2" name="ID Venta"/>
    <tableColumn id="3" name="Fecha"/>
    <tableColumn id="4" name="Cliente"/>
    <tableColumn id="5" name="Ciudad"/>
    <tableColumn id="6" name="Departamento"/>
    <tableColumn id="7" name="Transportista"/>
    <tableColumn id="8" name="Nro. Seguimiento"/>
    <tableColumn id="9" name="Costo"/>
    <tableColumn id="10" name="Estado"/>
    <tableColumn id="11" name="Fecha Entrega"/>
  </tableColumns>
  <tableStyleInfo name="TableStyleMedium7" showRowStripes="1"/>
</table>
</file>

<file path=xl/tables/table10.xml><?xml version="1.0" encoding="utf-8"?>
<table xmlns="http://schemas.openxmlformats.org/spreadsheetml/2006/main" id="10" name="TBL_Inventario" displayName="TBL_Inventario" ref="A2:K16" headerRowCount="1">
  <autoFilter ref="A2:K16"/>
  <tableColumns count="11">
    <tableColumn id="1" name="SKU"/>
    <tableColumn id="2" name="Producto"/>
    <tableColumn id="3" name="Categoría"/>
    <tableColumn id="4" name="Proveedor"/>
    <tableColumn id="5" name="Stock Actual"/>
    <tableColumn id="6" name="Stock Mínimo"/>
    <tableColumn id="7" name="Stock Ideal"/>
    <tableColumn id="8" name="Costo Unit."/>
    <tableColumn id="9" name="Valor Stock"/>
    <tableColumn id="10" name="Alerta"/>
    <tableColumn id="11" name="Fecha Act."/>
  </tableColumns>
  <tableStyleInfo name="TableStyleMedium9" showRowStripes="1"/>
</table>
</file>

<file path=xl/tables/table11.xml><?xml version="1.0" encoding="utf-8"?>
<table xmlns="http://schemas.openxmlformats.org/spreadsheetml/2006/main" id="11" name="TBL_PitBot" displayName="TBL_PitBot" ref="A2:M10" headerRowCount="1">
  <autoFilter ref="A2:M10"/>
  <tableColumns count="13">
    <tableColumn id="1" name="ID Conv."/>
    <tableColumn id="2" name="Fecha"/>
    <tableColumn id="3" name="Hora"/>
    <tableColumn id="4" name="Canal"/>
    <tableColumn id="5" name="Teléfono/User"/>
    <tableColumn id="6" name="Pregunta (resumen)"/>
    <tableColumn id="7" name="Categoría"/>
    <tableColumn id="8" name="Respuesta Enviada"/>
    <tableColumn id="9" name="Tiempo Resp.(min)"/>
    <tableColumn id="10" name="Resultado"/>
    <tableColumn id="11" name="Venta ID"/>
    <tableColumn id="12" name="Satisfacción"/>
    <tableColumn id="13" name="Nota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tabColor rgb="00E31837"/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30" customWidth="1" min="4" max="4"/>
  </cols>
  <sheetData>
    <row r="1" ht="32" customHeight="1">
      <c r="A1" s="1" t="inlineStr">
        <is>
          <t>⚙️  EL RINCÓN 3D LAB — CONFIGURACIÓN GLOBAL</t>
        </is>
      </c>
    </row>
    <row r="2" ht="18" customHeight="1">
      <c r="A2" s="2" t="inlineStr">
        <is>
          <t>Variables globales del sistema · Modificar solo en esta hoja</t>
        </is>
      </c>
    </row>
    <row r="4" ht="20" customHeight="1">
      <c r="A4" s="3" t="inlineStr">
        <is>
          <t>TIPO DE CAMBIO</t>
        </is>
      </c>
      <c r="B4" s="40" t="n"/>
      <c r="C4" s="40" t="n"/>
      <c r="D4" s="41" t="n"/>
    </row>
    <row r="5" ht="18" customHeight="1">
      <c r="A5" s="4" t="inlineStr">
        <is>
          <t>TC_USD_UYU</t>
        </is>
      </c>
      <c r="B5" s="5" t="inlineStr">
        <is>
          <t>Tipo de cambio USD/UYU</t>
        </is>
      </c>
      <c r="C5" s="6" t="n">
        <v>42.5</v>
      </c>
      <c r="D5" s="7" t="inlineStr">
        <is>
          <t>$ UYU por 1 USD</t>
        </is>
      </c>
    </row>
    <row r="6" ht="18" customHeight="1">
      <c r="A6" s="4" t="inlineStr">
        <is>
          <t>TC_USD_ARS</t>
        </is>
      </c>
      <c r="B6" s="5" t="inlineStr">
        <is>
          <t>Tipo de cambio USD/ARS</t>
        </is>
      </c>
      <c r="C6" s="6" t="n">
        <v>880</v>
      </c>
      <c r="D6" s="7" t="inlineStr">
        <is>
          <t>$ ARS por 1 USD</t>
        </is>
      </c>
    </row>
    <row r="8" ht="20" customHeight="1">
      <c r="A8" s="3" t="inlineStr">
        <is>
          <t>COMISIONES Y COSTOS PLATAFORMAS</t>
        </is>
      </c>
      <c r="B8" s="40" t="n"/>
      <c r="C8" s="40" t="n"/>
      <c r="D8" s="41" t="n"/>
    </row>
    <row r="9" ht="18" customHeight="1">
      <c r="A9" s="4" t="inlineStr">
        <is>
          <t>COM_MERCADOPAGO</t>
        </is>
      </c>
      <c r="B9" s="5" t="inlineStr">
        <is>
          <t>Comisión Mercado Pago (%)</t>
        </is>
      </c>
      <c r="C9" s="6" t="n">
        <v>3.49</v>
      </c>
      <c r="D9" s="7" t="inlineStr">
        <is>
          <t>% sobre venta</t>
        </is>
      </c>
    </row>
    <row r="10" ht="18" customHeight="1">
      <c r="A10" s="4" t="inlineStr">
        <is>
          <t>COM_WOOCOMMERCE</t>
        </is>
      </c>
      <c r="B10" s="5" t="inlineStr">
        <is>
          <t>Comisión WooCommerce (%)</t>
        </is>
      </c>
      <c r="C10" s="6" t="n">
        <v>2</v>
      </c>
      <c r="D10" s="7" t="inlineStr">
        <is>
          <t>% sobre venta</t>
        </is>
      </c>
    </row>
    <row r="11" ht="18" customHeight="1">
      <c r="A11" s="4" t="inlineStr">
        <is>
          <t>COM_MERCADOLIBRE</t>
        </is>
      </c>
      <c r="B11" s="5" t="inlineStr">
        <is>
          <t>Comisión Mercado Libre (%)</t>
        </is>
      </c>
      <c r="C11" s="6" t="n">
        <v>13</v>
      </c>
      <c r="D11" s="7" t="inlineStr">
        <is>
          <t>% sobre venta</t>
        </is>
      </c>
    </row>
    <row r="12" ht="18" customHeight="1">
      <c r="A12" s="4" t="inlineStr">
        <is>
          <t>COSTO_DAC</t>
        </is>
      </c>
      <c r="B12" s="5" t="inlineStr">
        <is>
          <t>Costo DAC promedio (UYU)</t>
        </is>
      </c>
      <c r="C12" s="6" t="n">
        <v>45</v>
      </c>
      <c r="D12" s="7" t="inlineStr">
        <is>
          <t>Por envío</t>
        </is>
      </c>
    </row>
    <row r="14" ht="20" customHeight="1">
      <c r="A14" s="3" t="inlineStr">
        <is>
          <t>PUBLICIDAD</t>
        </is>
      </c>
      <c r="B14" s="40" t="n"/>
      <c r="C14" s="40" t="n"/>
      <c r="D14" s="41" t="n"/>
    </row>
    <row r="15" ht="18" customHeight="1">
      <c r="A15" s="4" t="inlineStr">
        <is>
          <t>PRESUP_META_MES</t>
        </is>
      </c>
      <c r="B15" s="5" t="inlineStr">
        <is>
          <t>Presupuesto Meta Ads mensual</t>
        </is>
      </c>
      <c r="C15" s="6" t="n">
        <v>5000</v>
      </c>
      <c r="D15" s="7" t="inlineStr">
        <is>
          <t>UYU/mes</t>
        </is>
      </c>
    </row>
    <row r="16" ht="18" customHeight="1">
      <c r="A16" s="4" t="inlineStr">
        <is>
          <t>PRESUP_GOOGLE_MES</t>
        </is>
      </c>
      <c r="B16" s="5" t="inlineStr">
        <is>
          <t>Presupuesto Google Ads mensual</t>
        </is>
      </c>
      <c r="C16" s="6" t="n">
        <v>0</v>
      </c>
      <c r="D16" s="7" t="inlineStr">
        <is>
          <t>UYU/mes</t>
        </is>
      </c>
    </row>
    <row r="18" ht="20" customHeight="1">
      <c r="A18" s="3" t="inlineStr">
        <is>
          <t>OBJETIVOS</t>
        </is>
      </c>
      <c r="B18" s="40" t="n"/>
      <c r="C18" s="40" t="n"/>
      <c r="D18" s="41" t="n"/>
    </row>
    <row r="19" ht="18" customHeight="1">
      <c r="A19" s="4" t="inlineStr">
        <is>
          <t>OBJ_VENTAS_MES</t>
        </is>
      </c>
      <c r="B19" s="5" t="inlineStr">
        <is>
          <t>Objetivo ventas mensual (UYU)</t>
        </is>
      </c>
      <c r="C19" s="6" t="n">
        <v>80000</v>
      </c>
      <c r="D19" s="7" t="inlineStr">
        <is>
          <t>UYU</t>
        </is>
      </c>
    </row>
    <row r="20" ht="18" customHeight="1">
      <c r="A20" s="4" t="inlineStr">
        <is>
          <t>OBJ_UTILIDAD_MES</t>
        </is>
      </c>
      <c r="B20" s="5" t="inlineStr">
        <is>
          <t>Objetivo utilidad mensual (UYU)</t>
        </is>
      </c>
      <c r="C20" s="6" t="n">
        <v>25000</v>
      </c>
      <c r="D20" s="7" t="inlineStr">
        <is>
          <t>UYU</t>
        </is>
      </c>
    </row>
    <row r="21" ht="18" customHeight="1">
      <c r="A21" s="4" t="inlineStr">
        <is>
          <t>MARGEN_OBJETIVO</t>
        </is>
      </c>
      <c r="B21" s="5" t="inlineStr">
        <is>
          <t>Margen objetivo (%)</t>
        </is>
      </c>
      <c r="C21" s="6" t="n">
        <v>35</v>
      </c>
      <c r="D21" s="7" t="inlineStr">
        <is>
          <t>%</t>
        </is>
      </c>
    </row>
    <row r="22" ht="18" customHeight="1">
      <c r="A22" s="4" t="inlineStr">
        <is>
          <t>TICKET_OBJETIVO</t>
        </is>
      </c>
      <c r="B22" s="5" t="inlineStr">
        <is>
          <t>Ticket promedio objetivo (UYU)</t>
        </is>
      </c>
      <c r="C22" s="6" t="n">
        <v>1200</v>
      </c>
      <c r="D22" s="7" t="inlineStr">
        <is>
          <t>UYU</t>
        </is>
      </c>
    </row>
    <row r="24" ht="20" customHeight="1">
      <c r="A24" s="3" t="inlineStr">
        <is>
          <t>COSTOS FIJOS MENSUALES</t>
        </is>
      </c>
      <c r="B24" s="40" t="n"/>
      <c r="C24" s="40" t="n"/>
      <c r="D24" s="41" t="n"/>
    </row>
    <row r="25" ht="18" customHeight="1">
      <c r="A25" s="4" t="inlineStr">
        <is>
          <t>CF_ELECTRICIDAD</t>
        </is>
      </c>
      <c r="B25" s="5" t="inlineStr">
        <is>
          <t>Electricidad</t>
        </is>
      </c>
      <c r="C25" s="6" t="n">
        <v>1200</v>
      </c>
      <c r="D25" s="7" t="inlineStr">
        <is>
          <t>UYU/mes</t>
        </is>
      </c>
    </row>
    <row r="26" ht="18" customHeight="1">
      <c r="A26" s="4" t="inlineStr">
        <is>
          <t>CF_INTERNET</t>
        </is>
      </c>
      <c r="B26" s="5" t="inlineStr">
        <is>
          <t>Internet</t>
        </is>
      </c>
      <c r="C26" s="6" t="n">
        <v>800</v>
      </c>
      <c r="D26" s="7" t="inlineStr">
        <is>
          <t>UYU/mes</t>
        </is>
      </c>
    </row>
    <row r="27" ht="18" customHeight="1">
      <c r="A27" s="4" t="inlineStr">
        <is>
          <t>CF_SOFTWARE</t>
        </is>
      </c>
      <c r="B27" s="5" t="inlineStr">
        <is>
          <t>Software / SaaS</t>
        </is>
      </c>
      <c r="C27" s="6" t="n">
        <v>500</v>
      </c>
      <c r="D27" s="7" t="inlineStr">
        <is>
          <t>UYU/mes</t>
        </is>
      </c>
    </row>
    <row r="28" ht="18" customHeight="1">
      <c r="A28" s="4" t="inlineStr">
        <is>
          <t>CF_FILAMENTO</t>
        </is>
      </c>
      <c r="B28" s="5" t="inlineStr">
        <is>
          <t>Filamento base mensual</t>
        </is>
      </c>
      <c r="C28" s="6" t="n">
        <v>3000</v>
      </c>
      <c r="D28" s="7" t="inlineStr">
        <is>
          <t>UYU/mes</t>
        </is>
      </c>
    </row>
    <row r="29" ht="18" customHeight="1">
      <c r="A29" s="4" t="inlineStr">
        <is>
          <t>CF_OTROS</t>
        </is>
      </c>
      <c r="B29" s="5" t="inlineStr">
        <is>
          <t>Otros costos fijos</t>
        </is>
      </c>
      <c r="C29" s="6" t="n">
        <v>500</v>
      </c>
      <c r="D29" s="7" t="inlineStr">
        <is>
          <t>UYU/mes</t>
        </is>
      </c>
    </row>
    <row r="31" ht="20" customHeight="1">
      <c r="A31" s="3" t="inlineStr">
        <is>
          <t>IMPRESIÓN 3D</t>
        </is>
      </c>
      <c r="B31" s="40" t="n"/>
      <c r="C31" s="40" t="n"/>
      <c r="D31" s="41" t="n"/>
    </row>
    <row r="32" ht="18" customHeight="1">
      <c r="A32" s="4" t="inlineStr">
        <is>
          <t>COSTO_KWH</t>
        </is>
      </c>
      <c r="B32" s="5" t="inlineStr">
        <is>
          <t>Costo kWh (UYU)</t>
        </is>
      </c>
      <c r="C32" s="6" t="n">
        <v>6.5</v>
      </c>
      <c r="D32" s="7" t="inlineStr">
        <is>
          <t>UYU</t>
        </is>
      </c>
    </row>
    <row r="33" ht="18" customHeight="1">
      <c r="A33" s="4" t="inlineStr">
        <is>
          <t>CONSUMO_HORA</t>
        </is>
      </c>
      <c r="B33" s="5" t="inlineStr">
        <is>
          <t>Consumo impresora (kWh/h)</t>
        </is>
      </c>
      <c r="C33" s="6" t="n">
        <v>0.25</v>
      </c>
      <c r="D33" s="7" t="inlineStr">
        <is>
          <t>kWh por hora</t>
        </is>
      </c>
    </row>
    <row r="34" ht="18" customHeight="1">
      <c r="A34" s="4" t="inlineStr">
        <is>
          <t>COSTO_FILAMENTO_KG</t>
        </is>
      </c>
      <c r="B34" s="5" t="inlineStr">
        <is>
          <t>Costo filamento (UYU/kg)</t>
        </is>
      </c>
      <c r="C34" s="6" t="n">
        <v>600</v>
      </c>
      <c r="D34" s="7" t="inlineStr">
        <is>
          <t>UYU por kg</t>
        </is>
      </c>
    </row>
    <row r="35" ht="18" customHeight="1">
      <c r="A35" s="4" t="inlineStr">
        <is>
          <t>GRAMOS_POR_HORA</t>
        </is>
      </c>
      <c r="B35" s="5" t="inlineStr">
        <is>
          <t>Gramos filamento / hora</t>
        </is>
      </c>
      <c r="C35" s="6" t="n">
        <v>30</v>
      </c>
      <c r="D35" s="7" t="inlineStr">
        <is>
          <t>g/h promedio</t>
        </is>
      </c>
    </row>
  </sheetData>
  <mergeCells count="8">
    <mergeCell ref="A1:D1"/>
    <mergeCell ref="A18:D18"/>
    <mergeCell ref="A8:D8"/>
    <mergeCell ref="A31:D31"/>
    <mergeCell ref="A4:D4"/>
    <mergeCell ref="A24:D24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R17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8" customWidth="1" min="4" max="4"/>
    <col width="18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10" customWidth="1" min="15" max="15"/>
    <col width="10" customWidth="1" min="16" max="16"/>
    <col width="14" customWidth="1" min="17" max="17"/>
    <col width="9" customWidth="1" min="18" max="18"/>
  </cols>
  <sheetData>
    <row r="1" ht="28" customHeight="1">
      <c r="A1" s="61" t="inlineStr">
        <is>
          <t>📦  PRODUCTOS — BASE MAESTRA</t>
        </is>
      </c>
    </row>
    <row r="2" ht="22" customHeight="1">
      <c r="A2" s="62" t="inlineStr">
        <is>
          <t>ID</t>
        </is>
      </c>
      <c r="B2" s="62" t="inlineStr">
        <is>
          <t>SKU</t>
        </is>
      </c>
      <c r="C2" s="62" t="inlineStr">
        <is>
          <t>Nombre</t>
        </is>
      </c>
      <c r="D2" s="62" t="inlineStr">
        <is>
          <t>Categoría</t>
        </is>
      </c>
      <c r="E2" s="62" t="inlineStr">
        <is>
          <t>Subcategoría</t>
        </is>
      </c>
      <c r="F2" s="62" t="inlineStr">
        <is>
          <t>Proveedor</t>
        </is>
      </c>
      <c r="G2" s="62" t="inlineStr">
        <is>
          <t>Costo MP</t>
        </is>
      </c>
      <c r="H2" s="62" t="inlineStr">
        <is>
          <t>Costo Imp.</t>
        </is>
      </c>
      <c r="I2" s="62" t="inlineStr">
        <is>
          <t>Costo DTF</t>
        </is>
      </c>
      <c r="J2" s="62" t="inlineStr">
        <is>
          <t>Costo Pack.</t>
        </is>
      </c>
      <c r="K2" s="62" t="inlineStr">
        <is>
          <t>Costo Envío</t>
        </is>
      </c>
      <c r="L2" s="62" t="inlineStr">
        <is>
          <t>Costo Total</t>
        </is>
      </c>
      <c r="M2" s="62" t="inlineStr">
        <is>
          <t>Precio Venta</t>
        </is>
      </c>
      <c r="N2" s="62" t="inlineStr">
        <is>
          <t>Ganancia</t>
        </is>
      </c>
      <c r="O2" s="62" t="inlineStr">
        <is>
          <t>Margen %</t>
        </is>
      </c>
      <c r="P2" s="62" t="inlineStr">
        <is>
          <t>Peso (g)</t>
        </is>
      </c>
      <c r="Q2" s="62" t="inlineStr">
        <is>
          <t>Tiempo Imp.(h)</t>
        </is>
      </c>
      <c r="R2" s="62" t="inlineStr">
        <is>
          <t>Activo</t>
        </is>
      </c>
    </row>
    <row r="3" ht="16" customHeight="1">
      <c r="A3" s="49" t="n">
        <v>1</v>
      </c>
      <c r="B3" s="51" t="inlineStr">
        <is>
          <t>IMP3D-001</t>
        </is>
      </c>
      <c r="C3" s="51" t="inlineStr">
        <is>
          <t>Alerón F1 Escala 1:18</t>
        </is>
      </c>
      <c r="D3" s="49" t="inlineStr">
        <is>
          <t>IMPRESIÓN 3D</t>
        </is>
      </c>
      <c r="E3" s="49" t="inlineStr">
        <is>
          <t>Alerones F1</t>
        </is>
      </c>
      <c r="F3" s="49" t="inlineStr">
        <is>
          <t>Filamento PLA</t>
        </is>
      </c>
      <c r="G3" s="12" t="n">
        <v>85</v>
      </c>
      <c r="H3" s="12" t="n">
        <v>45</v>
      </c>
      <c r="I3" s="12" t="n">
        <v>0</v>
      </c>
      <c r="J3" s="12" t="n">
        <v>20</v>
      </c>
      <c r="K3" s="12" t="n">
        <v>80</v>
      </c>
      <c r="L3" s="12">
        <f>G3+H3+I3+J3+K3</f>
        <v/>
      </c>
      <c r="M3" s="12" t="n">
        <v>450</v>
      </c>
      <c r="N3" s="12">
        <f>M3-L3</f>
        <v/>
      </c>
      <c r="O3" s="42">
        <f>IF(M3&gt;0,N3/M3*100,0)</f>
        <v/>
      </c>
      <c r="P3" s="14" t="n">
        <v>120</v>
      </c>
      <c r="Q3" s="14" t="n">
        <v>4.5</v>
      </c>
      <c r="R3" s="52" t="inlineStr">
        <is>
          <t>SI</t>
        </is>
      </c>
    </row>
    <row r="4" ht="16" customHeight="1">
      <c r="A4" s="55" t="n">
        <v>2</v>
      </c>
      <c r="B4" s="57" t="inlineStr">
        <is>
          <t>IMP3D-002</t>
        </is>
      </c>
      <c r="C4" s="57" t="inlineStr">
        <is>
          <t>Circuito Monaco Mini</t>
        </is>
      </c>
      <c r="D4" s="55" t="inlineStr">
        <is>
          <t>IMPRESIÓN 3D</t>
        </is>
      </c>
      <c r="E4" s="55" t="inlineStr">
        <is>
          <t>Circuitos</t>
        </is>
      </c>
      <c r="F4" s="55" t="inlineStr">
        <is>
          <t>Filamento PLA</t>
        </is>
      </c>
      <c r="G4" s="18" t="n">
        <v>65</v>
      </c>
      <c r="H4" s="18" t="n">
        <v>35</v>
      </c>
      <c r="I4" s="18" t="n">
        <v>0</v>
      </c>
      <c r="J4" s="18" t="n">
        <v>15</v>
      </c>
      <c r="K4" s="18" t="n">
        <v>80</v>
      </c>
      <c r="L4" s="18">
        <f>G4+H4+I4+J4+K4</f>
        <v/>
      </c>
      <c r="M4" s="18" t="n">
        <v>380</v>
      </c>
      <c r="N4" s="18">
        <f>M4-L4</f>
        <v/>
      </c>
      <c r="O4" s="42">
        <f>IF(M4&gt;0,N4/M4*100,0)</f>
        <v/>
      </c>
      <c r="P4" s="19" t="n">
        <v>90</v>
      </c>
      <c r="Q4" s="19" t="n">
        <v>3.5</v>
      </c>
      <c r="R4" s="52" t="inlineStr">
        <is>
          <t>SI</t>
        </is>
      </c>
    </row>
    <row r="5" ht="16" customHeight="1">
      <c r="A5" s="49" t="n">
        <v>3</v>
      </c>
      <c r="B5" s="51" t="inlineStr">
        <is>
          <t>IMP3D-003</t>
        </is>
      </c>
      <c r="C5" s="51" t="inlineStr">
        <is>
          <t>Mini Garaje F1</t>
        </is>
      </c>
      <c r="D5" s="49" t="inlineStr">
        <is>
          <t>IMPRESIÓN 3D</t>
        </is>
      </c>
      <c r="E5" s="49" t="inlineStr">
        <is>
          <t>Mini Garajes</t>
        </is>
      </c>
      <c r="F5" s="49" t="inlineStr">
        <is>
          <t>Filamento PLA</t>
        </is>
      </c>
      <c r="G5" s="12" t="n">
        <v>120</v>
      </c>
      <c r="H5" s="12" t="n">
        <v>60</v>
      </c>
      <c r="I5" s="12" t="n">
        <v>0</v>
      </c>
      <c r="J5" s="12" t="n">
        <v>25</v>
      </c>
      <c r="K5" s="12" t="n">
        <v>80</v>
      </c>
      <c r="L5" s="12">
        <f>G5+H5+I5+J5+K5</f>
        <v/>
      </c>
      <c r="M5" s="12" t="n">
        <v>550</v>
      </c>
      <c r="N5" s="12">
        <f>M5-L5</f>
        <v/>
      </c>
      <c r="O5" s="42">
        <f>IF(M5&gt;0,N5/M5*100,0)</f>
        <v/>
      </c>
      <c r="P5" s="14" t="n">
        <v>180</v>
      </c>
      <c r="Q5" s="14" t="n">
        <v>6</v>
      </c>
      <c r="R5" s="52" t="inlineStr">
        <is>
          <t>SI</t>
        </is>
      </c>
    </row>
    <row r="6" ht="16" customHeight="1">
      <c r="A6" s="55" t="n">
        <v>4</v>
      </c>
      <c r="B6" s="57" t="inlineStr">
        <is>
          <t>IMP3D-004</t>
        </is>
      </c>
      <c r="C6" s="57" t="inlineStr">
        <is>
          <t>Llavero F1</t>
        </is>
      </c>
      <c r="D6" s="55" t="inlineStr">
        <is>
          <t>IMPRESIÓN 3D</t>
        </is>
      </c>
      <c r="E6" s="55" t="inlineStr">
        <is>
          <t>Llaveros</t>
        </is>
      </c>
      <c r="F6" s="55" t="inlineStr">
        <is>
          <t>Filamento PLA</t>
        </is>
      </c>
      <c r="G6" s="18" t="n">
        <v>15</v>
      </c>
      <c r="H6" s="18" t="n">
        <v>8</v>
      </c>
      <c r="I6" s="18" t="n">
        <v>0</v>
      </c>
      <c r="J6" s="18" t="n">
        <v>8</v>
      </c>
      <c r="K6" s="18" t="n">
        <v>0</v>
      </c>
      <c r="L6" s="18">
        <f>G6+H6+I6+J6+K6</f>
        <v/>
      </c>
      <c r="M6" s="18" t="n">
        <v>90</v>
      </c>
      <c r="N6" s="18">
        <f>M6-L6</f>
        <v/>
      </c>
      <c r="O6" s="43">
        <f>IF(M6&gt;0,N6/M6*100,0)</f>
        <v/>
      </c>
      <c r="P6" s="19" t="n">
        <v>20</v>
      </c>
      <c r="Q6" s="19" t="n">
        <v>0.8</v>
      </c>
      <c r="R6" s="52" t="inlineStr">
        <is>
          <t>SI</t>
        </is>
      </c>
    </row>
    <row r="7" ht="16" customHeight="1">
      <c r="A7" s="49" t="n">
        <v>5</v>
      </c>
      <c r="B7" s="51" t="inlineStr">
        <is>
          <t>IMP3D-005</t>
        </is>
      </c>
      <c r="C7" s="51" t="inlineStr">
        <is>
          <t>Imán F1</t>
        </is>
      </c>
      <c r="D7" s="49" t="inlineStr">
        <is>
          <t>IMPRESIÓN 3D</t>
        </is>
      </c>
      <c r="E7" s="49" t="inlineStr">
        <is>
          <t>Imanes</t>
        </is>
      </c>
      <c r="F7" s="49" t="inlineStr">
        <is>
          <t>Filamento PLA</t>
        </is>
      </c>
      <c r="G7" s="12" t="n">
        <v>12</v>
      </c>
      <c r="H7" s="12" t="n">
        <v>6</v>
      </c>
      <c r="I7" s="12" t="n">
        <v>0</v>
      </c>
      <c r="J7" s="12" t="n">
        <v>5</v>
      </c>
      <c r="K7" s="12" t="n">
        <v>0</v>
      </c>
      <c r="L7" s="12">
        <f>G7+H7+I7+J7+K7</f>
        <v/>
      </c>
      <c r="M7" s="12" t="n">
        <v>70</v>
      </c>
      <c r="N7" s="12">
        <f>M7-L7</f>
        <v/>
      </c>
      <c r="O7" s="43">
        <f>IF(M7&gt;0,N7/M7*100,0)</f>
        <v/>
      </c>
      <c r="P7" s="14" t="n">
        <v>15</v>
      </c>
      <c r="Q7" s="14" t="n">
        <v>0.5</v>
      </c>
      <c r="R7" s="52" t="inlineStr">
        <is>
          <t>SI</t>
        </is>
      </c>
    </row>
    <row r="8" ht="16" customHeight="1">
      <c r="A8" s="55" t="n">
        <v>6</v>
      </c>
      <c r="B8" s="57" t="inlineStr">
        <is>
          <t>IMP3D-006</t>
        </is>
      </c>
      <c r="C8" s="57" t="inlineStr">
        <is>
          <t>Portallaves F1</t>
        </is>
      </c>
      <c r="D8" s="55" t="inlineStr">
        <is>
          <t>IMPRESIÓN 3D</t>
        </is>
      </c>
      <c r="E8" s="55" t="inlineStr">
        <is>
          <t>Portallaves</t>
        </is>
      </c>
      <c r="F8" s="55" t="inlineStr">
        <is>
          <t>Filamento PLA</t>
        </is>
      </c>
      <c r="G8" s="18" t="n">
        <v>35</v>
      </c>
      <c r="H8" s="18" t="n">
        <v>18</v>
      </c>
      <c r="I8" s="18" t="n">
        <v>0</v>
      </c>
      <c r="J8" s="18" t="n">
        <v>12</v>
      </c>
      <c r="K8" s="18" t="n">
        <v>0</v>
      </c>
      <c r="L8" s="18">
        <f>G8+H8+I8+J8+K8</f>
        <v/>
      </c>
      <c r="M8" s="18" t="n">
        <v>180</v>
      </c>
      <c r="N8" s="18">
        <f>M8-L8</f>
        <v/>
      </c>
      <c r="O8" s="43">
        <f>IF(M8&gt;0,N8/M8*100,0)</f>
        <v/>
      </c>
      <c r="P8" s="19" t="n">
        <v>50</v>
      </c>
      <c r="Q8" s="19" t="n">
        <v>1.5</v>
      </c>
      <c r="R8" s="52" t="inlineStr">
        <is>
          <t>SI</t>
        </is>
      </c>
    </row>
    <row r="9" ht="16" customHeight="1">
      <c r="A9" s="49" t="n">
        <v>7</v>
      </c>
      <c r="B9" s="51" t="inlineStr">
        <is>
          <t>IMP3D-007</t>
        </is>
      </c>
      <c r="C9" s="51" t="inlineStr">
        <is>
          <t>Calendario F1 2025</t>
        </is>
      </c>
      <c r="D9" s="49" t="inlineStr">
        <is>
          <t>IMPRESIÓN 3D</t>
        </is>
      </c>
      <c r="E9" s="49" t="inlineStr">
        <is>
          <t>Calendarios</t>
        </is>
      </c>
      <c r="F9" s="49" t="inlineStr">
        <is>
          <t>Filamento PLA</t>
        </is>
      </c>
      <c r="G9" s="12" t="n">
        <v>80</v>
      </c>
      <c r="H9" s="12" t="n">
        <v>40</v>
      </c>
      <c r="I9" s="12" t="n">
        <v>0</v>
      </c>
      <c r="J9" s="12" t="n">
        <v>20</v>
      </c>
      <c r="K9" s="12" t="n">
        <v>0</v>
      </c>
      <c r="L9" s="12">
        <f>G9+H9+I9+J9+K9</f>
        <v/>
      </c>
      <c r="M9" s="12" t="n">
        <v>320</v>
      </c>
      <c r="N9" s="12">
        <f>M9-L9</f>
        <v/>
      </c>
      <c r="O9" s="43">
        <f>IF(M9&gt;0,N9/M9*100,0)</f>
        <v/>
      </c>
      <c r="P9" s="14" t="n">
        <v>110</v>
      </c>
      <c r="Q9" s="14" t="n">
        <v>3.5</v>
      </c>
      <c r="R9" s="52" t="inlineStr">
        <is>
          <t>SI</t>
        </is>
      </c>
    </row>
    <row r="10" ht="16" customHeight="1">
      <c r="A10" s="55" t="n">
        <v>8</v>
      </c>
      <c r="B10" s="57" t="inlineStr">
        <is>
          <t>INDUM-001</t>
        </is>
      </c>
      <c r="C10" s="57" t="inlineStr">
        <is>
          <t>Hoodie F1</t>
        </is>
      </c>
      <c r="D10" s="55" t="inlineStr">
        <is>
          <t>INDUMENTARIA</t>
        </is>
      </c>
      <c r="E10" s="55" t="inlineStr">
        <is>
          <t>Hoodies</t>
        </is>
      </c>
      <c r="F10" s="55" t="inlineStr">
        <is>
          <t>Proveedor Textil</t>
        </is>
      </c>
      <c r="G10" s="18" t="n">
        <v>800</v>
      </c>
      <c r="H10" s="18" t="n">
        <v>0</v>
      </c>
      <c r="I10" s="18" t="n">
        <v>350</v>
      </c>
      <c r="J10" s="18" t="n">
        <v>40</v>
      </c>
      <c r="K10" s="18" t="n">
        <v>120</v>
      </c>
      <c r="L10" s="18">
        <f>G10+H10+I10+J10+K10</f>
        <v/>
      </c>
      <c r="M10" s="18" t="n">
        <v>2200</v>
      </c>
      <c r="N10" s="18">
        <f>M10-L10</f>
        <v/>
      </c>
      <c r="O10" s="42">
        <f>IF(M10&gt;0,N10/M10*100,0)</f>
        <v/>
      </c>
      <c r="P10" s="19" t="n">
        <v>0</v>
      </c>
      <c r="Q10" s="19" t="n">
        <v>0</v>
      </c>
      <c r="R10" s="52" t="inlineStr">
        <is>
          <t>SI</t>
        </is>
      </c>
    </row>
    <row r="11" ht="16" customHeight="1">
      <c r="A11" s="49" t="n">
        <v>9</v>
      </c>
      <c r="B11" s="51" t="inlineStr">
        <is>
          <t>INDUM-002</t>
        </is>
      </c>
      <c r="C11" s="51" t="inlineStr">
        <is>
          <t>Remera F1</t>
        </is>
      </c>
      <c r="D11" s="49" t="inlineStr">
        <is>
          <t>INDUMENTARIA</t>
        </is>
      </c>
      <c r="E11" s="49" t="inlineStr">
        <is>
          <t>Remeras</t>
        </is>
      </c>
      <c r="F11" s="49" t="inlineStr">
        <is>
          <t>Proveedor Textil</t>
        </is>
      </c>
      <c r="G11" s="12" t="n">
        <v>350</v>
      </c>
      <c r="H11" s="12" t="n">
        <v>0</v>
      </c>
      <c r="I11" s="12" t="n">
        <v>180</v>
      </c>
      <c r="J11" s="12" t="n">
        <v>25</v>
      </c>
      <c r="K11" s="12" t="n">
        <v>80</v>
      </c>
      <c r="L11" s="12">
        <f>G11+H11+I11+J11+K11</f>
        <v/>
      </c>
      <c r="M11" s="12" t="n">
        <v>1100</v>
      </c>
      <c r="N11" s="12">
        <f>M11-L11</f>
        <v/>
      </c>
      <c r="O11" s="42">
        <f>IF(M11&gt;0,N11/M11*100,0)</f>
        <v/>
      </c>
      <c r="P11" s="14" t="n">
        <v>0</v>
      </c>
      <c r="Q11" s="14" t="n">
        <v>0</v>
      </c>
      <c r="R11" s="52" t="inlineStr">
        <is>
          <t>SI</t>
        </is>
      </c>
    </row>
    <row r="12" ht="16" customHeight="1">
      <c r="A12" s="55" t="n">
        <v>10</v>
      </c>
      <c r="B12" s="57" t="inlineStr">
        <is>
          <t>INDUM-003</t>
        </is>
      </c>
      <c r="C12" s="57" t="inlineStr">
        <is>
          <t>Gorra F1</t>
        </is>
      </c>
      <c r="D12" s="55" t="inlineStr">
        <is>
          <t>INDUMENTARIA</t>
        </is>
      </c>
      <c r="E12" s="55" t="inlineStr">
        <is>
          <t>Gorras</t>
        </is>
      </c>
      <c r="F12" s="55" t="inlineStr">
        <is>
          <t>Proveedor Textil</t>
        </is>
      </c>
      <c r="G12" s="18" t="n">
        <v>420</v>
      </c>
      <c r="H12" s="18" t="n">
        <v>0</v>
      </c>
      <c r="I12" s="18" t="n">
        <v>120</v>
      </c>
      <c r="J12" s="18" t="n">
        <v>20</v>
      </c>
      <c r="K12" s="18" t="n">
        <v>80</v>
      </c>
      <c r="L12" s="18">
        <f>G12+H12+I12+J12+K12</f>
        <v/>
      </c>
      <c r="M12" s="18" t="n">
        <v>1200</v>
      </c>
      <c r="N12" s="18">
        <f>M12-L12</f>
        <v/>
      </c>
      <c r="O12" s="42">
        <f>IF(M12&gt;0,N12/M12*100,0)</f>
        <v/>
      </c>
      <c r="P12" s="19" t="n">
        <v>0</v>
      </c>
      <c r="Q12" s="19" t="n">
        <v>0</v>
      </c>
      <c r="R12" s="52" t="inlineStr">
        <is>
          <t>SI</t>
        </is>
      </c>
    </row>
    <row r="13" ht="16" customHeight="1">
      <c r="A13" s="49" t="n">
        <v>11</v>
      </c>
      <c r="B13" s="51" t="inlineStr">
        <is>
          <t>TERM-001</t>
        </is>
      </c>
      <c r="C13" s="51" t="inlineStr">
        <is>
          <t>Mate F1 Personalizado</t>
        </is>
      </c>
      <c r="D13" s="49" t="inlineStr">
        <is>
          <t>TERMOS Y BEBIDAS</t>
        </is>
      </c>
      <c r="E13" s="49" t="inlineStr">
        <is>
          <t>Mates</t>
        </is>
      </c>
      <c r="F13" s="49" t="inlineStr">
        <is>
          <t>Proveedor Mates</t>
        </is>
      </c>
      <c r="G13" s="12" t="n">
        <v>450</v>
      </c>
      <c r="H13" s="12" t="n">
        <v>0</v>
      </c>
      <c r="I13" s="12" t="n">
        <v>200</v>
      </c>
      <c r="J13" s="12" t="n">
        <v>30</v>
      </c>
      <c r="K13" s="12" t="n">
        <v>80</v>
      </c>
      <c r="L13" s="12">
        <f>G13+H13+I13+J13+K13</f>
        <v/>
      </c>
      <c r="M13" s="12" t="n">
        <v>1400</v>
      </c>
      <c r="N13" s="12">
        <f>M13-L13</f>
        <v/>
      </c>
      <c r="O13" s="42">
        <f>IF(M13&gt;0,N13/M13*100,0)</f>
        <v/>
      </c>
      <c r="P13" s="14" t="n">
        <v>0</v>
      </c>
      <c r="Q13" s="14" t="n">
        <v>0</v>
      </c>
      <c r="R13" s="52" t="inlineStr">
        <is>
          <t>SI</t>
        </is>
      </c>
    </row>
    <row r="14" ht="16" customHeight="1">
      <c r="A14" s="55" t="n">
        <v>12</v>
      </c>
      <c r="B14" s="57" t="inlineStr">
        <is>
          <t>TERM-002</t>
        </is>
      </c>
      <c r="C14" s="57" t="inlineStr">
        <is>
          <t>Vaso Térmico F1</t>
        </is>
      </c>
      <c r="D14" s="55" t="inlineStr">
        <is>
          <t>TERMOS Y BEBIDAS</t>
        </is>
      </c>
      <c r="E14" s="55" t="inlineStr">
        <is>
          <t>Vasos Térmicos</t>
        </is>
      </c>
      <c r="F14" s="55" t="inlineStr">
        <is>
          <t>Proveedor Mates</t>
        </is>
      </c>
      <c r="G14" s="18" t="n">
        <v>520</v>
      </c>
      <c r="H14" s="18" t="n">
        <v>0</v>
      </c>
      <c r="I14" s="18" t="n">
        <v>180</v>
      </c>
      <c r="J14" s="18" t="n">
        <v>35</v>
      </c>
      <c r="K14" s="18" t="n">
        <v>80</v>
      </c>
      <c r="L14" s="18">
        <f>G14+H14+I14+J14+K14</f>
        <v/>
      </c>
      <c r="M14" s="18" t="n">
        <v>1500</v>
      </c>
      <c r="N14" s="18">
        <f>M14-L14</f>
        <v/>
      </c>
      <c r="O14" s="42">
        <f>IF(M14&gt;0,N14/M14*100,0)</f>
        <v/>
      </c>
      <c r="P14" s="19" t="n">
        <v>0</v>
      </c>
      <c r="Q14" s="19" t="n">
        <v>0</v>
      </c>
      <c r="R14" s="52" t="inlineStr">
        <is>
          <t>SI</t>
        </is>
      </c>
    </row>
    <row r="15" ht="16" customHeight="1">
      <c r="A15" s="49" t="n">
        <v>13</v>
      </c>
      <c r="B15" s="51" t="inlineStr">
        <is>
          <t>ILUM-001</t>
        </is>
      </c>
      <c r="C15" s="51" t="inlineStr">
        <is>
          <t>Lámpara LED F1</t>
        </is>
      </c>
      <c r="D15" s="49" t="inlineStr">
        <is>
          <t>ILUMINACIÓN</t>
        </is>
      </c>
      <c r="E15" s="49" t="inlineStr">
        <is>
          <t>Lámparas LED</t>
        </is>
      </c>
      <c r="F15" s="49" t="inlineStr">
        <is>
          <t>Proveedor LED</t>
        </is>
      </c>
      <c r="G15" s="12" t="n">
        <v>600</v>
      </c>
      <c r="H15" s="12" t="n">
        <v>80</v>
      </c>
      <c r="I15" s="12" t="n">
        <v>0</v>
      </c>
      <c r="J15" s="12" t="n">
        <v>45</v>
      </c>
      <c r="K15" s="12" t="n">
        <v>120</v>
      </c>
      <c r="L15" s="12">
        <f>G15+H15+I15+J15+K15</f>
        <v/>
      </c>
      <c r="M15" s="12" t="n">
        <v>1800</v>
      </c>
      <c r="N15" s="12">
        <f>M15-L15</f>
        <v/>
      </c>
      <c r="O15" s="43">
        <f>IF(M15&gt;0,N15/M15*100,0)</f>
        <v/>
      </c>
      <c r="P15" s="14" t="n">
        <v>0</v>
      </c>
      <c r="Q15" s="14" t="n">
        <v>0</v>
      </c>
      <c r="R15" s="52" t="inlineStr">
        <is>
          <t>SI</t>
        </is>
      </c>
    </row>
    <row r="16" ht="16" customHeight="1">
      <c r="A16" s="55" t="n">
        <v>14</v>
      </c>
      <c r="B16" s="57" t="inlineStr">
        <is>
          <t>ILUM-002</t>
        </is>
      </c>
      <c r="C16" s="57" t="inlineStr">
        <is>
          <t>Neón LED F1</t>
        </is>
      </c>
      <c r="D16" s="55" t="inlineStr">
        <is>
          <t>ILUMINACIÓN</t>
        </is>
      </c>
      <c r="E16" s="55" t="inlineStr">
        <is>
          <t>Neones LED</t>
        </is>
      </c>
      <c r="F16" s="55" t="inlineStr">
        <is>
          <t>Proveedor LED</t>
        </is>
      </c>
      <c r="G16" s="18" t="n">
        <v>1200</v>
      </c>
      <c r="H16" s="18" t="n">
        <v>0</v>
      </c>
      <c r="I16" s="18" t="n">
        <v>0</v>
      </c>
      <c r="J16" s="18" t="n">
        <v>60</v>
      </c>
      <c r="K16" s="18" t="n">
        <v>150</v>
      </c>
      <c r="L16" s="18">
        <f>G16+H16+I16+J16+K16</f>
        <v/>
      </c>
      <c r="M16" s="18" t="n">
        <v>3200</v>
      </c>
      <c r="N16" s="18">
        <f>M16-L16</f>
        <v/>
      </c>
      <c r="O16" s="43">
        <f>IF(M16&gt;0,N16/M16*100,0)</f>
        <v/>
      </c>
      <c r="P16" s="19" t="n">
        <v>0</v>
      </c>
      <c r="Q16" s="19" t="n">
        <v>0</v>
      </c>
      <c r="R16" s="52" t="inlineStr">
        <is>
          <t>SI</t>
        </is>
      </c>
    </row>
    <row r="17" ht="16" customHeight="1">
      <c r="A17" s="49" t="n">
        <v>15</v>
      </c>
      <c r="B17" s="51" t="inlineStr">
        <is>
          <t>PERS-001</t>
        </is>
      </c>
      <c r="C17" s="51" t="inlineStr">
        <is>
          <t>Producto Personalizado</t>
        </is>
      </c>
      <c r="D17" s="49" t="inlineStr">
        <is>
          <t>PERSONALIZADOS</t>
        </is>
      </c>
      <c r="E17" s="49" t="inlineStr">
        <is>
          <t>A medida</t>
        </is>
      </c>
      <c r="F17" s="49" t="inlineStr">
        <is>
          <t>Variable</t>
        </is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>
        <f>G17+H17+I17+J17+K17</f>
        <v/>
      </c>
      <c r="M17" s="12" t="n">
        <v>0</v>
      </c>
      <c r="N17" s="12">
        <f>M17-L17</f>
        <v/>
      </c>
      <c r="O17" s="44">
        <f>IF(M17&gt;0,N17/M17*100,0)</f>
        <v/>
      </c>
      <c r="P17" s="14" t="n">
        <v>0</v>
      </c>
      <c r="Q17" s="14" t="n">
        <v>0</v>
      </c>
      <c r="R17" s="52" t="inlineStr">
        <is>
          <t>SI</t>
        </is>
      </c>
    </row>
  </sheetData>
  <mergeCells count="1">
    <mergeCell ref="A1:R1"/>
  </mergeCells>
  <dataValidations count="2">
    <dataValidation sqref="D3:D10000" showDropDown="0" showInputMessage="0" showErrorMessage="1" allowBlank="1" errorTitle="Categoría inválida" error="Selecciona una categoría válida" type="list">
      <formula1>"IMPRESIÓN 3D,INDUMENTARIA,TERMOS Y BEBIDAS,ILUMINACIÓN,PERSONALIZADOS"</formula1>
    </dataValidation>
    <dataValidation sqref="R3:R10000" showDropDown="0" showInputMessage="0" showErrorMessage="0" allowBlank="0" type="list">
      <formula1>"SI,NO"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T10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10" customWidth="1" min="9" max="9"/>
    <col width="13" customWidth="1" min="10" max="10"/>
    <col width="13" customWidth="1" min="11" max="11"/>
    <col width="12" customWidth="1" min="12" max="12"/>
    <col width="13" customWidth="1" min="13" max="13"/>
    <col width="13" customWidth="1" min="14" max="14"/>
    <col width="13" customWidth="1" min="15" max="15"/>
    <col width="14" customWidth="1" min="16" max="16"/>
    <col width="12" customWidth="1" min="17" max="17"/>
    <col width="6" customWidth="1" min="18" max="18"/>
    <col width="6" customWidth="1" min="19" max="19"/>
    <col width="6" customWidth="1" min="20" max="20"/>
  </cols>
  <sheetData>
    <row r="1" ht="28" customHeight="1">
      <c r="A1" s="22" t="inlineStr">
        <is>
          <t>👤  CLIENTES — CRM MAESTRO</t>
        </is>
      </c>
    </row>
    <row r="2" ht="22" customHeight="1">
      <c r="A2" s="23" t="inlineStr">
        <is>
          <t>ID Cliente</t>
        </is>
      </c>
      <c r="B2" s="23" t="inlineStr">
        <is>
          <t>Nombre</t>
        </is>
      </c>
      <c r="C2" s="23" t="inlineStr">
        <is>
          <t>Apellido</t>
        </is>
      </c>
      <c r="D2" s="23" t="inlineStr">
        <is>
          <t>Teléfono</t>
        </is>
      </c>
      <c r="E2" s="23" t="inlineStr">
        <is>
          <t>Email</t>
        </is>
      </c>
      <c r="F2" s="23" t="inlineStr">
        <is>
          <t>Instagram</t>
        </is>
      </c>
      <c r="G2" s="23" t="inlineStr">
        <is>
          <t>Ciudad</t>
        </is>
      </c>
      <c r="H2" s="23" t="inlineStr">
        <is>
          <t>Departamento</t>
        </is>
      </c>
      <c r="I2" s="23" t="inlineStr">
        <is>
          <t>País</t>
        </is>
      </c>
      <c r="J2" s="23" t="inlineStr">
        <is>
          <t>1ra Compra</t>
        </is>
      </c>
      <c r="K2" s="23" t="inlineStr">
        <is>
          <t>Últ. Compra</t>
        </is>
      </c>
      <c r="L2" s="23" t="inlineStr">
        <is>
          <t>Cant. Pedidos</t>
        </is>
      </c>
      <c r="M2" s="23" t="inlineStr">
        <is>
          <t>Facturación</t>
        </is>
      </c>
      <c r="N2" s="23" t="inlineStr">
        <is>
          <t>Ganancia</t>
        </is>
      </c>
      <c r="O2" s="23" t="inlineStr">
        <is>
          <t>Ticket Prom.</t>
        </is>
      </c>
      <c r="P2" s="23" t="inlineStr">
        <is>
          <t>Canal Adq.</t>
        </is>
      </c>
      <c r="Q2" s="23" t="inlineStr">
        <is>
          <t>Segmento</t>
        </is>
      </c>
      <c r="R2" s="23" t="inlineStr">
        <is>
          <t>R</t>
        </is>
      </c>
      <c r="S2" s="23" t="inlineStr">
        <is>
          <t>F</t>
        </is>
      </c>
      <c r="T2" s="23" t="inlineStr">
        <is>
          <t>M</t>
        </is>
      </c>
    </row>
    <row r="3" ht="16" customHeight="1">
      <c r="A3" s="49" t="n">
        <v>1</v>
      </c>
      <c r="B3" s="51" t="inlineStr">
        <is>
          <t>Martín</t>
        </is>
      </c>
      <c r="C3" s="51" t="inlineStr">
        <is>
          <t>García</t>
        </is>
      </c>
      <c r="D3" s="51" t="inlineStr">
        <is>
          <t>099123456</t>
        </is>
      </c>
      <c r="E3" s="51" t="inlineStr">
        <is>
          <t>martin@email.com</t>
        </is>
      </c>
      <c r="F3" s="51" t="inlineStr">
        <is>
          <t>@martin_f1</t>
        </is>
      </c>
      <c r="G3" s="51" t="inlineStr">
        <is>
          <t>Montevideo</t>
        </is>
      </c>
      <c r="H3" s="51" t="inlineStr">
        <is>
          <t>Montevideo</t>
        </is>
      </c>
      <c r="I3" s="51" t="inlineStr">
        <is>
          <t>UY</t>
        </is>
      </c>
      <c r="J3" s="50" t="inlineStr">
        <is>
          <t>2024-01-15</t>
        </is>
      </c>
      <c r="K3" s="50" t="inlineStr">
        <is>
          <t>2025-05-10</t>
        </is>
      </c>
      <c r="L3" s="49" t="n">
        <v>8</v>
      </c>
      <c r="M3" s="53" t="n">
        <v>12500</v>
      </c>
      <c r="N3" s="53" t="n">
        <v>4800</v>
      </c>
      <c r="O3" s="53" t="n">
        <v>1562</v>
      </c>
      <c r="P3" s="51" t="inlineStr">
        <is>
          <t>Instagram</t>
        </is>
      </c>
      <c r="Q3" s="52" t="inlineStr">
        <is>
          <t>VIP</t>
        </is>
      </c>
      <c r="R3" s="26" t="n">
        <v>5</v>
      </c>
      <c r="S3" s="26" t="n">
        <v>4</v>
      </c>
      <c r="T3" s="26" t="n">
        <v>5</v>
      </c>
    </row>
    <row r="4" ht="16" customHeight="1">
      <c r="A4" s="55" t="n">
        <v>2</v>
      </c>
      <c r="B4" s="57" t="inlineStr">
        <is>
          <t>Laura</t>
        </is>
      </c>
      <c r="C4" s="57" t="inlineStr">
        <is>
          <t>Rodríguez</t>
        </is>
      </c>
      <c r="D4" s="57" t="inlineStr">
        <is>
          <t>098234567</t>
        </is>
      </c>
      <c r="E4" s="57" t="inlineStr">
        <is>
          <t>laura@email.com</t>
        </is>
      </c>
      <c r="F4" s="57" t="inlineStr">
        <is>
          <t>@laura_gr</t>
        </is>
      </c>
      <c r="G4" s="57" t="inlineStr">
        <is>
          <t>Salto</t>
        </is>
      </c>
      <c r="H4" s="57" t="inlineStr">
        <is>
          <t>Salto</t>
        </is>
      </c>
      <c r="I4" s="57" t="inlineStr">
        <is>
          <t>UY</t>
        </is>
      </c>
      <c r="J4" s="56" t="inlineStr">
        <is>
          <t>2024-03-20</t>
        </is>
      </c>
      <c r="K4" s="56" t="inlineStr">
        <is>
          <t>2025-04-28</t>
        </is>
      </c>
      <c r="L4" s="55" t="n">
        <v>3</v>
      </c>
      <c r="M4" s="58" t="n">
        <v>3800</v>
      </c>
      <c r="N4" s="58" t="n">
        <v>1420</v>
      </c>
      <c r="O4" s="58" t="n">
        <v>1267</v>
      </c>
      <c r="P4" s="57" t="inlineStr">
        <is>
          <t>WhatsApp</t>
        </is>
      </c>
      <c r="Q4" s="103" t="inlineStr">
        <is>
          <t>Frecuente</t>
        </is>
      </c>
      <c r="R4" s="30" t="n">
        <v>3</v>
      </c>
      <c r="S4" s="30" t="n">
        <v>3</v>
      </c>
      <c r="T4" s="30" t="n">
        <v>3</v>
      </c>
    </row>
    <row r="5" ht="16" customHeight="1">
      <c r="A5" s="49" t="n">
        <v>3</v>
      </c>
      <c r="B5" s="51" t="inlineStr">
        <is>
          <t>Diego</t>
        </is>
      </c>
      <c r="C5" s="51" t="inlineStr">
        <is>
          <t>Fernández</t>
        </is>
      </c>
      <c r="D5" s="51" t="inlineStr">
        <is>
          <t>097345678</t>
        </is>
      </c>
      <c r="E5" s="51" t="inlineStr">
        <is>
          <t>diego@email.com</t>
        </is>
      </c>
      <c r="F5" s="51" t="inlineStr">
        <is>
          <t>@diegoF</t>
        </is>
      </c>
      <c r="G5" s="51" t="inlineStr">
        <is>
          <t>Paysandú</t>
        </is>
      </c>
      <c r="H5" s="51" t="inlineStr">
        <is>
          <t>Paysandú</t>
        </is>
      </c>
      <c r="I5" s="51" t="inlineStr">
        <is>
          <t>UY</t>
        </is>
      </c>
      <c r="J5" s="50" t="inlineStr">
        <is>
          <t>2024-06-10</t>
        </is>
      </c>
      <c r="K5" s="50" t="inlineStr">
        <is>
          <t>2024-12-15</t>
        </is>
      </c>
      <c r="L5" s="49" t="n">
        <v>2</v>
      </c>
      <c r="M5" s="53" t="n">
        <v>2200</v>
      </c>
      <c r="N5" s="53" t="n">
        <v>820</v>
      </c>
      <c r="O5" s="53" t="n">
        <v>1100</v>
      </c>
      <c r="P5" s="51" t="inlineStr">
        <is>
          <t>Facebook</t>
        </is>
      </c>
      <c r="Q5" s="31" t="inlineStr">
        <is>
          <t>Ocasional</t>
        </is>
      </c>
      <c r="R5" s="26" t="n">
        <v>2</v>
      </c>
      <c r="S5" s="26" t="n">
        <v>2</v>
      </c>
      <c r="T5" s="26" t="n">
        <v>2</v>
      </c>
    </row>
    <row r="6" ht="16" customHeight="1">
      <c r="A6" s="55" t="n">
        <v>4</v>
      </c>
      <c r="B6" s="57" t="inlineStr">
        <is>
          <t>Ana</t>
        </is>
      </c>
      <c r="C6" s="57" t="inlineStr">
        <is>
          <t>Martínez</t>
        </is>
      </c>
      <c r="D6" s="57" t="inlineStr">
        <is>
          <t>096456789</t>
        </is>
      </c>
      <c r="E6" s="57" t="inlineStr">
        <is>
          <t>ana@email.com</t>
        </is>
      </c>
      <c r="F6" s="57" t="inlineStr">
        <is>
          <t>@ana_mtz</t>
        </is>
      </c>
      <c r="G6" s="57" t="inlineStr">
        <is>
          <t>Montevideo</t>
        </is>
      </c>
      <c r="H6" s="57" t="inlineStr">
        <is>
          <t>Montevideo</t>
        </is>
      </c>
      <c r="I6" s="57" t="inlineStr">
        <is>
          <t>UY</t>
        </is>
      </c>
      <c r="J6" s="56" t="inlineStr">
        <is>
          <t>2024-08-05</t>
        </is>
      </c>
      <c r="K6" s="56" t="inlineStr">
        <is>
          <t>2024-09-10</t>
        </is>
      </c>
      <c r="L6" s="55" t="n">
        <v>1</v>
      </c>
      <c r="M6" s="58" t="n">
        <v>950</v>
      </c>
      <c r="N6" s="58" t="n">
        <v>350</v>
      </c>
      <c r="O6" s="58" t="n">
        <v>950</v>
      </c>
      <c r="P6" s="57" t="inlineStr">
        <is>
          <t>WooCommerce</t>
        </is>
      </c>
      <c r="Q6" s="107" t="inlineStr">
        <is>
          <t>Dormido</t>
        </is>
      </c>
      <c r="R6" s="30" t="n">
        <v>1</v>
      </c>
      <c r="S6" s="30" t="n">
        <v>1</v>
      </c>
      <c r="T6" s="30" t="n">
        <v>2</v>
      </c>
    </row>
    <row r="7" ht="16" customHeight="1">
      <c r="A7" s="49" t="n">
        <v>5</v>
      </c>
      <c r="B7" s="51" t="inlineStr">
        <is>
          <t>Carlos</t>
        </is>
      </c>
      <c r="C7" s="51" t="inlineStr">
        <is>
          <t>López</t>
        </is>
      </c>
      <c r="D7" s="51" t="inlineStr">
        <is>
          <t>095567890</t>
        </is>
      </c>
      <c r="E7" s="51" t="inlineStr">
        <is>
          <t>carlos@email.com</t>
        </is>
      </c>
      <c r="F7" s="51" t="inlineStr">
        <is>
          <t>@carlos_loop</t>
        </is>
      </c>
      <c r="G7" s="51" t="inlineStr">
        <is>
          <t>Rivera</t>
        </is>
      </c>
      <c r="H7" s="51" t="inlineStr">
        <is>
          <t>Rivera</t>
        </is>
      </c>
      <c r="I7" s="51" t="inlineStr">
        <is>
          <t>UY</t>
        </is>
      </c>
      <c r="J7" s="50" t="inlineStr">
        <is>
          <t>2024-02-14</t>
        </is>
      </c>
      <c r="K7" s="50" t="inlineStr">
        <is>
          <t>2025-05-20</t>
        </is>
      </c>
      <c r="L7" s="49" t="n">
        <v>6</v>
      </c>
      <c r="M7" s="53" t="n">
        <v>9200</v>
      </c>
      <c r="N7" s="53" t="n">
        <v>3600</v>
      </c>
      <c r="O7" s="53" t="n">
        <v>1533</v>
      </c>
      <c r="P7" s="51" t="inlineStr">
        <is>
          <t>Instagram</t>
        </is>
      </c>
      <c r="Q7" s="52" t="inlineStr">
        <is>
          <t>VIP</t>
        </is>
      </c>
      <c r="R7" s="26" t="n">
        <v>4</v>
      </c>
      <c r="S7" s="26" t="n">
        <v>4</v>
      </c>
      <c r="T7" s="26" t="n">
        <v>5</v>
      </c>
    </row>
    <row r="8" ht="16" customHeight="1">
      <c r="A8" s="55" t="n">
        <v>6</v>
      </c>
      <c r="B8" s="57" t="inlineStr">
        <is>
          <t>Sofía</t>
        </is>
      </c>
      <c r="C8" s="57" t="inlineStr">
        <is>
          <t>Pérez</t>
        </is>
      </c>
      <c r="D8" s="57" t="inlineStr">
        <is>
          <t>094678901</t>
        </is>
      </c>
      <c r="E8" s="57" t="inlineStr">
        <is>
          <t>sofia@email.com</t>
        </is>
      </c>
      <c r="F8" s="57" t="inlineStr">
        <is>
          <t>@sofia_p</t>
        </is>
      </c>
      <c r="G8" s="57" t="inlineStr">
        <is>
          <t>Maldonado</t>
        </is>
      </c>
      <c r="H8" s="57" t="inlineStr">
        <is>
          <t>Maldonado</t>
        </is>
      </c>
      <c r="I8" s="57" t="inlineStr">
        <is>
          <t>UY</t>
        </is>
      </c>
      <c r="J8" s="56" t="inlineStr">
        <is>
          <t>2024-11-01</t>
        </is>
      </c>
      <c r="K8" s="56" t="inlineStr">
        <is>
          <t>2025-05-15</t>
        </is>
      </c>
      <c r="L8" s="55" t="n">
        <v>4</v>
      </c>
      <c r="M8" s="58" t="n">
        <v>5600</v>
      </c>
      <c r="N8" s="58" t="n">
        <v>2100</v>
      </c>
      <c r="O8" s="58" t="n">
        <v>1400</v>
      </c>
      <c r="P8" s="57" t="inlineStr">
        <is>
          <t>WhatsApp</t>
        </is>
      </c>
      <c r="Q8" s="103" t="inlineStr">
        <is>
          <t>Frecuente</t>
        </is>
      </c>
      <c r="R8" s="30" t="n">
        <v>4</v>
      </c>
      <c r="S8" s="30" t="n">
        <v>3</v>
      </c>
      <c r="T8" s="30" t="n">
        <v>4</v>
      </c>
    </row>
    <row r="9" ht="16" customHeight="1">
      <c r="A9" s="49" t="n">
        <v>7</v>
      </c>
      <c r="B9" s="51" t="inlineStr">
        <is>
          <t>Pablo</t>
        </is>
      </c>
      <c r="C9" s="51" t="inlineStr">
        <is>
          <t>González</t>
        </is>
      </c>
      <c r="D9" s="51" t="inlineStr">
        <is>
          <t>093789012</t>
        </is>
      </c>
      <c r="E9" s="51" t="inlineStr">
        <is>
          <t>pablo@email.com</t>
        </is>
      </c>
      <c r="F9" s="51" t="inlineStr">
        <is>
          <t>@pablo_g</t>
        </is>
      </c>
      <c r="G9" s="51" t="inlineStr">
        <is>
          <t>Canelones</t>
        </is>
      </c>
      <c r="H9" s="51" t="inlineStr">
        <is>
          <t>Canelones</t>
        </is>
      </c>
      <c r="I9" s="51" t="inlineStr">
        <is>
          <t>UY</t>
        </is>
      </c>
      <c r="J9" s="50" t="inlineStr">
        <is>
          <t>2025-01-10</t>
        </is>
      </c>
      <c r="K9" s="50" t="inlineStr">
        <is>
          <t>2025-05-28</t>
        </is>
      </c>
      <c r="L9" s="49" t="n">
        <v>2</v>
      </c>
      <c r="M9" s="53" t="n">
        <v>1800</v>
      </c>
      <c r="N9" s="53" t="n">
        <v>680</v>
      </c>
      <c r="O9" s="53" t="n">
        <v>900</v>
      </c>
      <c r="P9" s="51" t="inlineStr">
        <is>
          <t>WooCommerce</t>
        </is>
      </c>
      <c r="Q9" s="31" t="inlineStr">
        <is>
          <t>Ocasional</t>
        </is>
      </c>
      <c r="R9" s="26" t="n">
        <v>4</v>
      </c>
      <c r="S9" s="26" t="n">
        <v>2</v>
      </c>
      <c r="T9" s="26" t="n">
        <v>2</v>
      </c>
    </row>
    <row r="10" ht="16" customHeight="1">
      <c r="A10" s="55" t="n">
        <v>8</v>
      </c>
      <c r="B10" s="57" t="inlineStr">
        <is>
          <t>María</t>
        </is>
      </c>
      <c r="C10" s="57" t="inlineStr">
        <is>
          <t>Suárez</t>
        </is>
      </c>
      <c r="D10" s="57" t="inlineStr">
        <is>
          <t>092890123</t>
        </is>
      </c>
      <c r="E10" s="57" t="inlineStr">
        <is>
          <t>maria@email.com</t>
        </is>
      </c>
      <c r="F10" s="57" t="inlineStr">
        <is>
          <t>@maria_s</t>
        </is>
      </c>
      <c r="G10" s="57" t="inlineStr">
        <is>
          <t>Tacuarembó</t>
        </is>
      </c>
      <c r="H10" s="57" t="inlineStr">
        <is>
          <t>Tacuarembó</t>
        </is>
      </c>
      <c r="I10" s="57" t="inlineStr">
        <is>
          <t>UY</t>
        </is>
      </c>
      <c r="J10" s="56" t="inlineStr">
        <is>
          <t>2024-04-22</t>
        </is>
      </c>
      <c r="K10" s="56" t="inlineStr">
        <is>
          <t>2024-07-30</t>
        </is>
      </c>
      <c r="L10" s="55" t="n">
        <v>2</v>
      </c>
      <c r="M10" s="58" t="n">
        <v>1600</v>
      </c>
      <c r="N10" s="58" t="n">
        <v>600</v>
      </c>
      <c r="O10" s="58" t="n">
        <v>800</v>
      </c>
      <c r="P10" s="57" t="inlineStr">
        <is>
          <t>Facebook</t>
        </is>
      </c>
      <c r="Q10" s="107" t="inlineStr">
        <is>
          <t>Dormido</t>
        </is>
      </c>
      <c r="R10" s="30" t="n">
        <v>2</v>
      </c>
      <c r="S10" s="30" t="n">
        <v>2</v>
      </c>
      <c r="T10" s="30" t="n">
        <v>2</v>
      </c>
    </row>
  </sheetData>
  <mergeCells count="1">
    <mergeCell ref="A1:T1"/>
  </mergeCells>
  <dataValidations count="2">
    <dataValidation sqref="Q3:Q100000" showDropDown="0" showInputMessage="0" showErrorMessage="0" allowBlank="1" type="list">
      <formula1>"VIP,Frecuente,Ocasional,Dormido"</formula1>
    </dataValidation>
    <dataValidation sqref="P3:P100000" showDropDown="0" showInputMessage="0" showErrorMessage="0" allowBlank="1" type="list">
      <formula1>"Instagram,WhatsApp,Facebook,WooCommerce,Mercado Libre,Evento,Referido,Otro"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57F17"/>
    <outlinePr summaryBelow="1" summaryRight="1"/>
    <pageSetUpPr/>
  </sheetPr>
  <dimension ref="A1:L1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14" customWidth="1" min="4" max="4"/>
    <col width="15" customWidth="1" min="5" max="5"/>
    <col width="13" customWidth="1" min="6" max="6"/>
    <col width="22" customWidth="1" min="7" max="7"/>
    <col width="14" customWidth="1" min="8" max="8"/>
    <col width="14" customWidth="1" min="9" max="9"/>
    <col width="16" customWidth="1" min="10" max="10"/>
    <col width="22" customWidth="1" min="11" max="11"/>
    <col width="28" customWidth="1" min="12" max="12"/>
  </cols>
  <sheetData>
    <row r="1" ht="28" customHeight="1">
      <c r="A1" s="33" t="inlineStr">
        <is>
          <t>🎯  LEADS — GESTIÓN DE CONSULTAS</t>
        </is>
      </c>
    </row>
    <row r="2" ht="22" customHeight="1">
      <c r="A2" s="34" t="inlineStr">
        <is>
          <t>ID Lead</t>
        </is>
      </c>
      <c r="B2" s="34" t="inlineStr">
        <is>
          <t>Fecha</t>
        </is>
      </c>
      <c r="C2" s="34" t="inlineStr">
        <is>
          <t>Nombre</t>
        </is>
      </c>
      <c r="D2" s="34" t="inlineStr">
        <is>
          <t>Teléfono</t>
        </is>
      </c>
      <c r="E2" s="34" t="inlineStr">
        <is>
          <t>Instagram</t>
        </is>
      </c>
      <c r="F2" s="34" t="inlineStr">
        <is>
          <t>Canal</t>
        </is>
      </c>
      <c r="G2" s="34" t="inlineStr">
        <is>
          <t>Producto Interés</t>
        </is>
      </c>
      <c r="H2" s="34" t="inlineStr">
        <is>
          <t>Ciudad</t>
        </is>
      </c>
      <c r="I2" s="34" t="inlineStr">
        <is>
          <t>Departamento</t>
        </is>
      </c>
      <c r="J2" s="34" t="inlineStr">
        <is>
          <t>Estado</t>
        </is>
      </c>
      <c r="K2" s="34" t="inlineStr">
        <is>
          <t>Motivo Pérdida</t>
        </is>
      </c>
      <c r="L2" s="34" t="inlineStr">
        <is>
          <t>Notas</t>
        </is>
      </c>
    </row>
    <row r="3" ht="16" customHeight="1">
      <c r="A3" s="49" t="n">
        <v>1</v>
      </c>
      <c r="B3" s="50" t="inlineStr">
        <is>
          <t>2025-05-01</t>
        </is>
      </c>
      <c r="C3" s="51" t="inlineStr">
        <is>
          <t>Juan Pérez</t>
        </is>
      </c>
      <c r="D3" s="49" t="inlineStr">
        <is>
          <t>091111111</t>
        </is>
      </c>
      <c r="E3" s="49" t="inlineStr">
        <is>
          <t>@juan_f1</t>
        </is>
      </c>
      <c r="F3" s="49" t="inlineStr">
        <is>
          <t>Instagram</t>
        </is>
      </c>
      <c r="G3" s="51" t="inlineStr">
        <is>
          <t>Alerón F1</t>
        </is>
      </c>
      <c r="H3" s="49" t="inlineStr">
        <is>
          <t>Montevideo</t>
        </is>
      </c>
      <c r="I3" s="49" t="inlineStr">
        <is>
          <t>Montevideo</t>
        </is>
      </c>
      <c r="J3" s="52" t="inlineStr">
        <is>
          <t>Ganado</t>
        </is>
      </c>
      <c r="K3" s="51" t="inlineStr"/>
      <c r="L3" s="51" t="inlineStr"/>
    </row>
    <row r="4" ht="16" customHeight="1">
      <c r="A4" s="55" t="n">
        <v>2</v>
      </c>
      <c r="B4" s="56" t="inlineStr">
        <is>
          <t>2025-05-03</t>
        </is>
      </c>
      <c r="C4" s="57" t="inlineStr">
        <is>
          <t>María López</t>
        </is>
      </c>
      <c r="D4" s="55" t="inlineStr">
        <is>
          <t>092222222</t>
        </is>
      </c>
      <c r="E4" s="55" t="inlineStr">
        <is>
          <t>@maria_l</t>
        </is>
      </c>
      <c r="F4" s="55" t="inlineStr">
        <is>
          <t>WhatsApp</t>
        </is>
      </c>
      <c r="G4" s="57" t="inlineStr">
        <is>
          <t>Hoodie F1</t>
        </is>
      </c>
      <c r="H4" s="55" t="inlineStr">
        <is>
          <t>Salto</t>
        </is>
      </c>
      <c r="I4" s="55" t="inlineStr">
        <is>
          <t>Salto</t>
        </is>
      </c>
      <c r="J4" s="31" t="inlineStr">
        <is>
          <t>Presupuestado</t>
        </is>
      </c>
      <c r="K4" s="57" t="inlineStr"/>
      <c r="L4" s="57" t="inlineStr">
        <is>
          <t>Espera talla L</t>
        </is>
      </c>
    </row>
    <row r="5" ht="16" customHeight="1">
      <c r="A5" s="49" t="n">
        <v>3</v>
      </c>
      <c r="B5" s="50" t="inlineStr">
        <is>
          <t>2025-05-05</t>
        </is>
      </c>
      <c r="C5" s="51" t="inlineStr">
        <is>
          <t>Pedro García</t>
        </is>
      </c>
      <c r="D5" s="49" t="inlineStr">
        <is>
          <t>093333333</t>
        </is>
      </c>
      <c r="E5" s="49" t="inlineStr"/>
      <c r="F5" s="49" t="inlineStr">
        <is>
          <t>Facebook</t>
        </is>
      </c>
      <c r="G5" s="51" t="inlineStr">
        <is>
          <t>Llavero F1</t>
        </is>
      </c>
      <c r="H5" s="49" t="inlineStr">
        <is>
          <t>Paysandú</t>
        </is>
      </c>
      <c r="I5" s="49" t="inlineStr">
        <is>
          <t>Paysandú</t>
        </is>
      </c>
      <c r="J5" s="107" t="inlineStr">
        <is>
          <t>Perdido</t>
        </is>
      </c>
      <c r="K5" s="51" t="inlineStr">
        <is>
          <t>Precio</t>
        </is>
      </c>
      <c r="L5" s="51" t="inlineStr">
        <is>
          <t>Muy caro</t>
        </is>
      </c>
    </row>
    <row r="6" ht="16" customHeight="1">
      <c r="A6" s="55" t="n">
        <v>4</v>
      </c>
      <c r="B6" s="56" t="inlineStr">
        <is>
          <t>2025-05-08</t>
        </is>
      </c>
      <c r="C6" s="57" t="inlineStr">
        <is>
          <t>Ana Rodríguez</t>
        </is>
      </c>
      <c r="D6" s="55" t="inlineStr">
        <is>
          <t>094444444</t>
        </is>
      </c>
      <c r="E6" s="55" t="inlineStr">
        <is>
          <t>@ana_r</t>
        </is>
      </c>
      <c r="F6" s="55" t="inlineStr">
        <is>
          <t>WhatsApp</t>
        </is>
      </c>
      <c r="G6" s="57" t="inlineStr">
        <is>
          <t>Mate F1</t>
        </is>
      </c>
      <c r="H6" s="55" t="inlineStr">
        <is>
          <t>Canelones</t>
        </is>
      </c>
      <c r="I6" s="55" t="inlineStr">
        <is>
          <t>Canelones</t>
        </is>
      </c>
      <c r="J6" s="35" t="inlineStr">
        <is>
          <t>En negociación</t>
        </is>
      </c>
      <c r="K6" s="57" t="inlineStr"/>
      <c r="L6" s="57" t="inlineStr">
        <is>
          <t>Quiere pack x2</t>
        </is>
      </c>
    </row>
    <row r="7" ht="16" customHeight="1">
      <c r="A7" s="49" t="n">
        <v>5</v>
      </c>
      <c r="B7" s="50" t="inlineStr">
        <is>
          <t>2025-05-10</t>
        </is>
      </c>
      <c r="C7" s="51" t="inlineStr">
        <is>
          <t>Luis Fernández</t>
        </is>
      </c>
      <c r="D7" s="49" t="inlineStr">
        <is>
          <t>095555555</t>
        </is>
      </c>
      <c r="E7" s="49" t="inlineStr">
        <is>
          <t>@luis_f</t>
        </is>
      </c>
      <c r="F7" s="49" t="inlineStr">
        <is>
          <t>Instagram</t>
        </is>
      </c>
      <c r="G7" s="51" t="inlineStr">
        <is>
          <t>Lámpara LED</t>
        </is>
      </c>
      <c r="H7" s="49" t="inlineStr">
        <is>
          <t>Montevideo</t>
        </is>
      </c>
      <c r="I7" s="49" t="inlineStr">
        <is>
          <t>Montevideo</t>
        </is>
      </c>
      <c r="J7" s="60" t="inlineStr">
        <is>
          <t>Contactado</t>
        </is>
      </c>
      <c r="K7" s="51" t="inlineStr"/>
      <c r="L7" s="51" t="inlineStr"/>
    </row>
    <row r="8" ht="16" customHeight="1">
      <c r="A8" s="55" t="n">
        <v>6</v>
      </c>
      <c r="B8" s="56" t="inlineStr">
        <is>
          <t>2025-05-12</t>
        </is>
      </c>
      <c r="C8" s="57" t="inlineStr">
        <is>
          <t>Carla Suárez</t>
        </is>
      </c>
      <c r="D8" s="55" t="inlineStr">
        <is>
          <t>096666666</t>
        </is>
      </c>
      <c r="E8" s="55" t="inlineStr"/>
      <c r="F8" s="55" t="inlineStr">
        <is>
          <t>WooCommerce</t>
        </is>
      </c>
      <c r="G8" s="57" t="inlineStr">
        <is>
          <t>Remera F1</t>
        </is>
      </c>
      <c r="H8" s="55" t="inlineStr">
        <is>
          <t>Rivera</t>
        </is>
      </c>
      <c r="I8" s="55" t="inlineStr">
        <is>
          <t>Rivera</t>
        </is>
      </c>
      <c r="J8" s="37" t="inlineStr">
        <is>
          <t>Nuevo</t>
        </is>
      </c>
      <c r="K8" s="57" t="inlineStr"/>
      <c r="L8" s="57" t="inlineStr"/>
    </row>
    <row r="9" ht="16" customHeight="1">
      <c r="A9" s="49" t="n">
        <v>7</v>
      </c>
      <c r="B9" s="50" t="inlineStr">
        <is>
          <t>2025-05-15</t>
        </is>
      </c>
      <c r="C9" s="51" t="inlineStr">
        <is>
          <t>Ricardo Martínez</t>
        </is>
      </c>
      <c r="D9" s="49" t="inlineStr">
        <is>
          <t>097777777</t>
        </is>
      </c>
      <c r="E9" s="49" t="inlineStr">
        <is>
          <t>@ric_mtz</t>
        </is>
      </c>
      <c r="F9" s="49" t="inlineStr">
        <is>
          <t>WhatsApp</t>
        </is>
      </c>
      <c r="G9" s="51" t="inlineStr">
        <is>
          <t>Circuito Monaco</t>
        </is>
      </c>
      <c r="H9" s="49" t="inlineStr">
        <is>
          <t>Maldonado</t>
        </is>
      </c>
      <c r="I9" s="49" t="inlineStr">
        <is>
          <t>Maldonado</t>
        </is>
      </c>
      <c r="J9" s="52" t="inlineStr">
        <is>
          <t>Ganado</t>
        </is>
      </c>
      <c r="K9" s="51" t="inlineStr"/>
      <c r="L9" s="51" t="inlineStr"/>
    </row>
    <row r="10" ht="16" customHeight="1">
      <c r="A10" s="55" t="n">
        <v>8</v>
      </c>
      <c r="B10" s="56" t="inlineStr">
        <is>
          <t>2025-05-18</t>
        </is>
      </c>
      <c r="C10" s="57" t="inlineStr">
        <is>
          <t>Valeria Pérez</t>
        </is>
      </c>
      <c r="D10" s="55" t="inlineStr">
        <is>
          <t>098888888</t>
        </is>
      </c>
      <c r="E10" s="55" t="inlineStr">
        <is>
          <t>@vale_p</t>
        </is>
      </c>
      <c r="F10" s="55" t="inlineStr">
        <is>
          <t>Instagram</t>
        </is>
      </c>
      <c r="G10" s="57" t="inlineStr">
        <is>
          <t>Vaso Térmico</t>
        </is>
      </c>
      <c r="H10" s="55" t="inlineStr">
        <is>
          <t>Montevideo</t>
        </is>
      </c>
      <c r="I10" s="55" t="inlineStr">
        <is>
          <t>Montevideo</t>
        </is>
      </c>
      <c r="J10" s="107" t="inlineStr">
        <is>
          <t>Perdido</t>
        </is>
      </c>
      <c r="K10" s="57" t="inlineStr">
        <is>
          <t>Tiempo</t>
        </is>
      </c>
      <c r="L10" s="57" t="inlineStr">
        <is>
          <t>Necesitaba urgente</t>
        </is>
      </c>
    </row>
  </sheetData>
  <mergeCells count="1">
    <mergeCell ref="A1:L1"/>
  </mergeCells>
  <dataValidations count="3">
    <dataValidation sqref="J3:J100000" showDropDown="0" showInputMessage="0" showErrorMessage="0" allowBlank="1" type="list">
      <formula1>"Nuevo,Contactado,Presupuestado,En negociación,Ganado,Perdido"</formula1>
    </dataValidation>
    <dataValidation sqref="F3:F100000" showDropDown="0" showInputMessage="0" showErrorMessage="0" allowBlank="1" type="list">
      <formula1>"Instagram,WhatsApp,Facebook,WooCommerce,Mercado Libre,Evento,Referido,Otro"</formula1>
    </dataValidation>
    <dataValidation sqref="K3:K100000" showDropDown="0" showInputMessage="0" showErrorMessage="0" allowBlank="1" type="list">
      <formula1>"Precio,Tiempo,Sin respuesta,No le gustó,Competencia,Otro"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K9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20" customWidth="1" min="4" max="4"/>
    <col width="25" customWidth="1" min="5" max="5"/>
    <col width="10" customWidth="1" min="6" max="6"/>
    <col width="12" customWidth="1" min="7" max="7"/>
    <col width="12" customWidth="1" min="8" max="8"/>
    <col width="14" customWidth="1" min="9" max="9"/>
    <col width="13" customWidth="1" min="10" max="10"/>
    <col width="28" customWidth="1" min="11" max="11"/>
  </cols>
  <sheetData>
    <row r="1" ht="28" customHeight="1">
      <c r="A1" s="38" t="inlineStr">
        <is>
          <t>💰  COTIZACIONES — PRESUPUESTOS ENVIADOS</t>
        </is>
      </c>
    </row>
    <row r="2" ht="22" customHeight="1">
      <c r="A2" s="39" t="inlineStr">
        <is>
          <t>ID Cotización</t>
        </is>
      </c>
      <c r="B2" s="39" t="inlineStr">
        <is>
          <t>Fecha</t>
        </is>
      </c>
      <c r="C2" s="39" t="inlineStr">
        <is>
          <t>ID Lead</t>
        </is>
      </c>
      <c r="D2" s="39" t="inlineStr">
        <is>
          <t>Nombre Cliente</t>
        </is>
      </c>
      <c r="E2" s="39" t="inlineStr">
        <is>
          <t>Producto</t>
        </is>
      </c>
      <c r="F2" s="39" t="inlineStr">
        <is>
          <t>Cantidad</t>
        </is>
      </c>
      <c r="G2" s="39" t="inlineStr">
        <is>
          <t>Precio Unit.</t>
        </is>
      </c>
      <c r="H2" s="39" t="inlineStr">
        <is>
          <t>Monto Total</t>
        </is>
      </c>
      <c r="I2" s="39" t="inlineStr">
        <is>
          <t>Estado</t>
        </is>
      </c>
      <c r="J2" s="39" t="inlineStr">
        <is>
          <t>Fecha Cierre</t>
        </is>
      </c>
      <c r="K2" s="39" t="inlineStr">
        <is>
          <t>Notas</t>
        </is>
      </c>
    </row>
    <row r="3" ht="16" customHeight="1">
      <c r="A3" s="49" t="n">
        <v>1</v>
      </c>
      <c r="B3" s="50" t="inlineStr">
        <is>
          <t>2025-05-01</t>
        </is>
      </c>
      <c r="C3" s="49" t="n">
        <v>1</v>
      </c>
      <c r="D3" s="51" t="inlineStr">
        <is>
          <t>Juan Pérez</t>
        </is>
      </c>
      <c r="E3" s="51" t="inlineStr">
        <is>
          <t>Alerón F1 Escala 1:18</t>
        </is>
      </c>
      <c r="F3" s="49" t="n">
        <v>1</v>
      </c>
      <c r="G3" s="53" t="n">
        <v>450</v>
      </c>
      <c r="H3" s="53" t="n">
        <v>450</v>
      </c>
      <c r="I3" s="52" t="inlineStr">
        <is>
          <t>Aceptada</t>
        </is>
      </c>
      <c r="J3" s="50" t="inlineStr">
        <is>
          <t>2025-05-03</t>
        </is>
      </c>
      <c r="K3" s="51" t="inlineStr">
        <is>
          <t>Pagó completo</t>
        </is>
      </c>
    </row>
    <row r="4" ht="16" customHeight="1">
      <c r="A4" s="55" t="n">
        <v>2</v>
      </c>
      <c r="B4" s="56" t="inlineStr">
        <is>
          <t>2025-05-03</t>
        </is>
      </c>
      <c r="C4" s="55" t="n">
        <v>2</v>
      </c>
      <c r="D4" s="57" t="inlineStr">
        <is>
          <t>María López</t>
        </is>
      </c>
      <c r="E4" s="57" t="inlineStr">
        <is>
          <t>Hoodie F1 talla L</t>
        </is>
      </c>
      <c r="F4" s="55" t="n">
        <v>1</v>
      </c>
      <c r="G4" s="58" t="n">
        <v>2200</v>
      </c>
      <c r="H4" s="58" t="n">
        <v>2200</v>
      </c>
      <c r="I4" s="60" t="inlineStr">
        <is>
          <t>Pendiente</t>
        </is>
      </c>
      <c r="J4" s="56" t="inlineStr"/>
      <c r="K4" s="57" t="inlineStr">
        <is>
          <t>Espera confirmación</t>
        </is>
      </c>
    </row>
    <row r="5" ht="16" customHeight="1">
      <c r="A5" s="49" t="n">
        <v>3</v>
      </c>
      <c r="B5" s="50" t="inlineStr">
        <is>
          <t>2025-05-05</t>
        </is>
      </c>
      <c r="C5" s="49" t="n">
        <v>3</v>
      </c>
      <c r="D5" s="51" t="inlineStr">
        <is>
          <t>Pedro García</t>
        </is>
      </c>
      <c r="E5" s="51" t="inlineStr">
        <is>
          <t>Llavero F1 x5</t>
        </is>
      </c>
      <c r="F5" s="49" t="n">
        <v>5</v>
      </c>
      <c r="G5" s="53" t="n">
        <v>90</v>
      </c>
      <c r="H5" s="53" t="n">
        <v>450</v>
      </c>
      <c r="I5" s="107" t="inlineStr">
        <is>
          <t>Rechazada</t>
        </is>
      </c>
      <c r="J5" s="50" t="inlineStr">
        <is>
          <t>2025-05-06</t>
        </is>
      </c>
      <c r="K5" s="51" t="inlineStr">
        <is>
          <t>Precio muy alto</t>
        </is>
      </c>
    </row>
    <row r="6" ht="16" customHeight="1">
      <c r="A6" s="55" t="n">
        <v>4</v>
      </c>
      <c r="B6" s="56" t="inlineStr">
        <is>
          <t>2025-05-08</t>
        </is>
      </c>
      <c r="C6" s="55" t="n">
        <v>4</v>
      </c>
      <c r="D6" s="57" t="inlineStr">
        <is>
          <t>Ana Rodríguez</t>
        </is>
      </c>
      <c r="E6" s="57" t="inlineStr">
        <is>
          <t>Mate F1 + Vaso Térmico</t>
        </is>
      </c>
      <c r="F6" s="55" t="n">
        <v>2</v>
      </c>
      <c r="G6" s="58" t="n">
        <v>1400</v>
      </c>
      <c r="H6" s="58" t="n">
        <v>2800</v>
      </c>
      <c r="I6" s="60" t="inlineStr">
        <is>
          <t>Pendiente</t>
        </is>
      </c>
      <c r="J6" s="56" t="inlineStr"/>
      <c r="K6" s="57" t="inlineStr">
        <is>
          <t>Pack especial</t>
        </is>
      </c>
    </row>
    <row r="7" ht="16" customHeight="1">
      <c r="A7" s="49" t="n">
        <v>5</v>
      </c>
      <c r="B7" s="50" t="inlineStr">
        <is>
          <t>2025-05-10</t>
        </is>
      </c>
      <c r="C7" s="49" t="n">
        <v>5</v>
      </c>
      <c r="D7" s="51" t="inlineStr">
        <is>
          <t>Luis Fernández</t>
        </is>
      </c>
      <c r="E7" s="51" t="inlineStr">
        <is>
          <t>Lámpara LED F1</t>
        </is>
      </c>
      <c r="F7" s="49" t="n">
        <v>1</v>
      </c>
      <c r="G7" s="53" t="n">
        <v>1800</v>
      </c>
      <c r="H7" s="53" t="n">
        <v>1800</v>
      </c>
      <c r="I7" s="52" t="inlineStr">
        <is>
          <t>Aceptada</t>
        </is>
      </c>
      <c r="J7" s="50" t="inlineStr">
        <is>
          <t>2025-05-12</t>
        </is>
      </c>
      <c r="K7" s="51" t="inlineStr">
        <is>
          <t>Envío a domicilio</t>
        </is>
      </c>
    </row>
    <row r="8" ht="16" customHeight="1">
      <c r="A8" s="55" t="n">
        <v>6</v>
      </c>
      <c r="B8" s="56" t="inlineStr">
        <is>
          <t>2025-05-15</t>
        </is>
      </c>
      <c r="C8" s="55" t="n">
        <v>7</v>
      </c>
      <c r="D8" s="57" t="inlineStr">
        <is>
          <t>Ricardo Martínez</t>
        </is>
      </c>
      <c r="E8" s="57" t="inlineStr">
        <is>
          <t>Circuito Monaco Mini</t>
        </is>
      </c>
      <c r="F8" s="55" t="n">
        <v>1</v>
      </c>
      <c r="G8" s="58" t="n">
        <v>380</v>
      </c>
      <c r="H8" s="58" t="n">
        <v>380</v>
      </c>
      <c r="I8" s="52" t="inlineStr">
        <is>
          <t>Aceptada</t>
        </is>
      </c>
      <c r="J8" s="56" t="inlineStr">
        <is>
          <t>2025-05-15</t>
        </is>
      </c>
      <c r="K8" s="57" t="inlineStr">
        <is>
          <t>Retira en persona</t>
        </is>
      </c>
    </row>
    <row r="9" ht="16" customHeight="1">
      <c r="A9" s="49" t="n">
        <v>7</v>
      </c>
      <c r="B9" s="50" t="inlineStr">
        <is>
          <t>2025-05-20</t>
        </is>
      </c>
      <c r="C9" s="49" t="n">
        <v>2</v>
      </c>
      <c r="D9" s="51" t="inlineStr">
        <is>
          <t>María López</t>
        </is>
      </c>
      <c r="E9" s="51" t="inlineStr">
        <is>
          <t>Hoodie F1 talla M</t>
        </is>
      </c>
      <c r="F9" s="49" t="n">
        <v>1</v>
      </c>
      <c r="G9" s="53" t="n">
        <v>2200</v>
      </c>
      <c r="H9" s="53" t="n">
        <v>2200</v>
      </c>
      <c r="I9" s="60" t="inlineStr">
        <is>
          <t>Pendiente</t>
        </is>
      </c>
      <c r="J9" s="50" t="inlineStr"/>
      <c r="K9" s="51" t="inlineStr">
        <is>
          <t>Cambió la talla</t>
        </is>
      </c>
    </row>
  </sheetData>
  <mergeCells count="1">
    <mergeCell ref="A1:K1"/>
  </mergeCells>
  <dataValidations count="1">
    <dataValidation sqref="I3:I100000" showDropDown="0" showInputMessage="0" showErrorMessage="0" allowBlank="1" type="list">
      <formula1>"Pendiente,Aceptada,Rechazada"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D47A1"/>
    <outlinePr summaryBelow="1" summaryRight="1"/>
    <pageSetUpPr/>
  </sheetPr>
  <dimension ref="A1:P12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20" customWidth="1" min="4" max="4"/>
    <col width="13" customWidth="1" min="5" max="5"/>
    <col width="14" customWidth="1" min="6" max="6"/>
    <col width="13" customWidth="1" min="7" max="7"/>
    <col width="14" customWidth="1" min="8" max="8"/>
    <col width="13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0" customWidth="1" min="15" max="15"/>
    <col width="25" customWidth="1" min="16" max="16"/>
  </cols>
  <sheetData>
    <row r="1" ht="28" customHeight="1">
      <c r="A1" s="47" t="inlineStr">
        <is>
          <t>🛒  VENTAS — REGISTRO MAESTRO</t>
        </is>
      </c>
    </row>
    <row r="2" ht="22" customHeight="1">
      <c r="A2" s="48" t="inlineStr">
        <is>
          <t>ID Venta</t>
        </is>
      </c>
      <c r="B2" s="48" t="inlineStr">
        <is>
          <t>Fecha</t>
        </is>
      </c>
      <c r="C2" s="48" t="inlineStr">
        <is>
          <t>ID Cliente</t>
        </is>
      </c>
      <c r="D2" s="48" t="inlineStr">
        <is>
          <t>Nombre Cliente</t>
        </is>
      </c>
      <c r="E2" s="48" t="inlineStr">
        <is>
          <t>Canal</t>
        </is>
      </c>
      <c r="F2" s="48" t="inlineStr">
        <is>
          <t>Método Pago</t>
        </is>
      </c>
      <c r="G2" s="48" t="inlineStr">
        <is>
          <t>Estado Pago</t>
        </is>
      </c>
      <c r="H2" s="48" t="inlineStr">
        <is>
          <t>Estado Pedido</t>
        </is>
      </c>
      <c r="I2" s="48" t="inlineStr">
        <is>
          <t>Estado Envío</t>
        </is>
      </c>
      <c r="J2" s="48" t="inlineStr">
        <is>
          <t>Subtotal</t>
        </is>
      </c>
      <c r="K2" s="48" t="inlineStr">
        <is>
          <t>Descuento</t>
        </is>
      </c>
      <c r="L2" s="48" t="inlineStr">
        <is>
          <t>Facturación</t>
        </is>
      </c>
      <c r="M2" s="48" t="inlineStr">
        <is>
          <t>Costo Total</t>
        </is>
      </c>
      <c r="N2" s="48" t="inlineStr">
        <is>
          <t>Ganancia</t>
        </is>
      </c>
      <c r="O2" s="48" t="inlineStr">
        <is>
          <t>Margen %</t>
        </is>
      </c>
      <c r="P2" s="48" t="inlineStr">
        <is>
          <t>Notas</t>
        </is>
      </c>
    </row>
    <row r="3" ht="16" customHeight="1">
      <c r="A3" s="49" t="n">
        <v>1</v>
      </c>
      <c r="B3" s="50" t="inlineStr">
        <is>
          <t>2025-05-01</t>
        </is>
      </c>
      <c r="C3" s="49" t="n">
        <v>1</v>
      </c>
      <c r="D3" s="51" t="inlineStr">
        <is>
          <t>Martín García</t>
        </is>
      </c>
      <c r="E3" s="49" t="inlineStr">
        <is>
          <t>Instagram</t>
        </is>
      </c>
      <c r="F3" s="49" t="inlineStr">
        <is>
          <t>Mercado Pago</t>
        </is>
      </c>
      <c r="G3" s="52" t="inlineStr">
        <is>
          <t>Pagado</t>
        </is>
      </c>
      <c r="H3" s="49" t="inlineStr">
        <is>
          <t>Entregado</t>
        </is>
      </c>
      <c r="I3" s="49" t="inlineStr">
        <is>
          <t>Entregado</t>
        </is>
      </c>
      <c r="J3" s="53" t="n">
        <v>450</v>
      </c>
      <c r="K3" s="53" t="n">
        <v>0</v>
      </c>
      <c r="L3" s="53" t="n">
        <v>450</v>
      </c>
      <c r="M3" s="53" t="n">
        <v>230</v>
      </c>
      <c r="N3" s="53" t="n">
        <v>220</v>
      </c>
      <c r="O3" s="54">
        <f>IF(L3&gt;0,(L3-M3)/L3*100,0)</f>
        <v/>
      </c>
      <c r="P3" s="51" t="inlineStr"/>
    </row>
    <row r="4" ht="16" customHeight="1">
      <c r="A4" s="55" t="n">
        <v>2</v>
      </c>
      <c r="B4" s="56" t="inlineStr">
        <is>
          <t>2025-05-03</t>
        </is>
      </c>
      <c r="C4" s="55" t="n">
        <v>5</v>
      </c>
      <c r="D4" s="57" t="inlineStr">
        <is>
          <t>Carlos López</t>
        </is>
      </c>
      <c r="E4" s="55" t="inlineStr">
        <is>
          <t>WhatsApp</t>
        </is>
      </c>
      <c r="F4" s="55" t="inlineStr">
        <is>
          <t>Transferencia</t>
        </is>
      </c>
      <c r="G4" s="52" t="inlineStr">
        <is>
          <t>Pagado</t>
        </is>
      </c>
      <c r="H4" s="55" t="inlineStr">
        <is>
          <t>En proceso</t>
        </is>
      </c>
      <c r="I4" s="55" t="inlineStr">
        <is>
          <t>Pendiente</t>
        </is>
      </c>
      <c r="J4" s="58" t="n">
        <v>380</v>
      </c>
      <c r="K4" s="58" t="n">
        <v>0</v>
      </c>
      <c r="L4" s="58" t="n">
        <v>380</v>
      </c>
      <c r="M4" s="58" t="n">
        <v>195</v>
      </c>
      <c r="N4" s="58" t="n">
        <v>185</v>
      </c>
      <c r="O4" s="59">
        <f>IF(L4&gt;0,(L4-M4)/L4*100,0)</f>
        <v/>
      </c>
      <c r="P4" s="57" t="inlineStr"/>
    </row>
    <row r="5" ht="16" customHeight="1">
      <c r="A5" s="49" t="n">
        <v>3</v>
      </c>
      <c r="B5" s="50" t="inlineStr">
        <is>
          <t>2025-05-05</t>
        </is>
      </c>
      <c r="C5" s="49" t="n">
        <v>1</v>
      </c>
      <c r="D5" s="51" t="inlineStr">
        <is>
          <t>Martín García</t>
        </is>
      </c>
      <c r="E5" s="49" t="inlineStr">
        <is>
          <t>WooCommerce</t>
        </is>
      </c>
      <c r="F5" s="49" t="inlineStr">
        <is>
          <t>Mercado Pago</t>
        </is>
      </c>
      <c r="G5" s="52" t="inlineStr">
        <is>
          <t>Pagado</t>
        </is>
      </c>
      <c r="H5" s="49" t="inlineStr">
        <is>
          <t>Entregado</t>
        </is>
      </c>
      <c r="I5" s="49" t="inlineStr">
        <is>
          <t>Entregado</t>
        </is>
      </c>
      <c r="J5" s="53" t="n">
        <v>2200</v>
      </c>
      <c r="K5" s="53" t="n">
        <v>100</v>
      </c>
      <c r="L5" s="53" t="n">
        <v>2100</v>
      </c>
      <c r="M5" s="53" t="n">
        <v>1310</v>
      </c>
      <c r="N5" s="53" t="n">
        <v>790</v>
      </c>
      <c r="O5" s="54">
        <f>IF(L5&gt;0,(L5-M5)/L5*100,0)</f>
        <v/>
      </c>
      <c r="P5" s="51" t="inlineStr">
        <is>
          <t>Descuento fidelidad</t>
        </is>
      </c>
    </row>
    <row r="6" ht="16" customHeight="1">
      <c r="A6" s="55" t="n">
        <v>4</v>
      </c>
      <c r="B6" s="56" t="inlineStr">
        <is>
          <t>2025-05-08</t>
        </is>
      </c>
      <c r="C6" s="55" t="n">
        <v>6</v>
      </c>
      <c r="D6" s="57" t="inlineStr">
        <is>
          <t>Sofía Pérez</t>
        </is>
      </c>
      <c r="E6" s="55" t="inlineStr">
        <is>
          <t>WhatsApp</t>
        </is>
      </c>
      <c r="F6" s="55" t="inlineStr">
        <is>
          <t>Efectivo</t>
        </is>
      </c>
      <c r="G6" s="52" t="inlineStr">
        <is>
          <t>Pagado</t>
        </is>
      </c>
      <c r="H6" s="55" t="inlineStr">
        <is>
          <t>Entregado</t>
        </is>
      </c>
      <c r="I6" s="55" t="inlineStr">
        <is>
          <t>Retiró</t>
        </is>
      </c>
      <c r="J6" s="58" t="n">
        <v>1800</v>
      </c>
      <c r="K6" s="58" t="n">
        <v>0</v>
      </c>
      <c r="L6" s="58" t="n">
        <v>1800</v>
      </c>
      <c r="M6" s="58" t="n">
        <v>845</v>
      </c>
      <c r="N6" s="58" t="n">
        <v>955</v>
      </c>
      <c r="O6" s="59">
        <f>IF(L6&gt;0,(L6-M6)/L6*100,0)</f>
        <v/>
      </c>
      <c r="P6" s="57" t="inlineStr">
        <is>
          <t>Lámpara LED F1</t>
        </is>
      </c>
    </row>
    <row r="7" ht="16" customHeight="1">
      <c r="A7" s="49" t="n">
        <v>5</v>
      </c>
      <c r="B7" s="50" t="inlineStr">
        <is>
          <t>2025-05-10</t>
        </is>
      </c>
      <c r="C7" s="49" t="n">
        <v>2</v>
      </c>
      <c r="D7" s="51" t="inlineStr">
        <is>
          <t>Laura Rodríguez</t>
        </is>
      </c>
      <c r="E7" s="49" t="inlineStr">
        <is>
          <t>Instagram</t>
        </is>
      </c>
      <c r="F7" s="49" t="inlineStr">
        <is>
          <t>Mercado Pago</t>
        </is>
      </c>
      <c r="G7" s="52" t="inlineStr">
        <is>
          <t>Pagado</t>
        </is>
      </c>
      <c r="H7" s="49" t="inlineStr">
        <is>
          <t>Enviado</t>
        </is>
      </c>
      <c r="I7" s="49" t="inlineStr">
        <is>
          <t>En tránsito</t>
        </is>
      </c>
      <c r="J7" s="53" t="n">
        <v>1100</v>
      </c>
      <c r="K7" s="53" t="n">
        <v>0</v>
      </c>
      <c r="L7" s="53" t="n">
        <v>1100</v>
      </c>
      <c r="M7" s="53" t="n">
        <v>635</v>
      </c>
      <c r="N7" s="53" t="n">
        <v>465</v>
      </c>
      <c r="O7" s="54">
        <f>IF(L7&gt;0,(L7-M7)/L7*100,0)</f>
        <v/>
      </c>
      <c r="P7" s="51" t="inlineStr">
        <is>
          <t>Remera F1</t>
        </is>
      </c>
    </row>
    <row r="8" ht="16" customHeight="1">
      <c r="A8" s="55" t="n">
        <v>6</v>
      </c>
      <c r="B8" s="56" t="inlineStr">
        <is>
          <t>2025-05-12</t>
        </is>
      </c>
      <c r="C8" s="55" t="n">
        <v>7</v>
      </c>
      <c r="D8" s="57" t="inlineStr">
        <is>
          <t>Pablo González</t>
        </is>
      </c>
      <c r="E8" s="55" t="inlineStr">
        <is>
          <t>WooCommerce</t>
        </is>
      </c>
      <c r="F8" s="55" t="inlineStr">
        <is>
          <t>Mercado Pago</t>
        </is>
      </c>
      <c r="G8" s="52" t="inlineStr">
        <is>
          <t>Pagado</t>
        </is>
      </c>
      <c r="H8" s="55" t="inlineStr">
        <is>
          <t>Entregado</t>
        </is>
      </c>
      <c r="I8" s="55" t="inlineStr">
        <is>
          <t>Entregado</t>
        </is>
      </c>
      <c r="J8" s="58" t="n">
        <v>90</v>
      </c>
      <c r="K8" s="58" t="n">
        <v>0</v>
      </c>
      <c r="L8" s="58" t="n">
        <v>90</v>
      </c>
      <c r="M8" s="58" t="n">
        <v>31</v>
      </c>
      <c r="N8" s="58" t="n">
        <v>59</v>
      </c>
      <c r="O8" s="59">
        <f>IF(L8&gt;0,(L8-M8)/L8*100,0)</f>
        <v/>
      </c>
      <c r="P8" s="57" t="inlineStr">
        <is>
          <t>Llavero F1</t>
        </is>
      </c>
    </row>
    <row r="9" ht="16" customHeight="1">
      <c r="A9" s="49" t="n">
        <v>7</v>
      </c>
      <c r="B9" s="50" t="inlineStr">
        <is>
          <t>2025-05-15</t>
        </is>
      </c>
      <c r="C9" s="49" t="n">
        <v>5</v>
      </c>
      <c r="D9" s="51" t="inlineStr">
        <is>
          <t>Carlos López</t>
        </is>
      </c>
      <c r="E9" s="49" t="inlineStr">
        <is>
          <t>Instagram</t>
        </is>
      </c>
      <c r="F9" s="49" t="inlineStr">
        <is>
          <t>Transferencia</t>
        </is>
      </c>
      <c r="G9" s="52" t="inlineStr">
        <is>
          <t>Pagado</t>
        </is>
      </c>
      <c r="H9" s="49" t="inlineStr">
        <is>
          <t>En proceso</t>
        </is>
      </c>
      <c r="I9" s="49" t="inlineStr">
        <is>
          <t>Pendiente</t>
        </is>
      </c>
      <c r="J9" s="53" t="n">
        <v>550</v>
      </c>
      <c r="K9" s="53" t="n">
        <v>50</v>
      </c>
      <c r="L9" s="53" t="n">
        <v>500</v>
      </c>
      <c r="M9" s="53" t="n">
        <v>285</v>
      </c>
      <c r="N9" s="53" t="n">
        <v>215</v>
      </c>
      <c r="O9" s="54">
        <f>IF(L9&gt;0,(L9-M9)/L9*100,0)</f>
        <v/>
      </c>
      <c r="P9" s="51" t="inlineStr">
        <is>
          <t>Mini Garaje F1</t>
        </is>
      </c>
    </row>
    <row r="10" ht="16" customHeight="1">
      <c r="A10" s="55" t="n">
        <v>8</v>
      </c>
      <c r="B10" s="56" t="inlineStr">
        <is>
          <t>2025-05-18</t>
        </is>
      </c>
      <c r="C10" s="55" t="n">
        <v>3</v>
      </c>
      <c r="D10" s="57" t="inlineStr">
        <is>
          <t>Diego Fernández</t>
        </is>
      </c>
      <c r="E10" s="55" t="inlineStr">
        <is>
          <t>Facebook</t>
        </is>
      </c>
      <c r="F10" s="55" t="inlineStr">
        <is>
          <t>Mercado Pago</t>
        </is>
      </c>
      <c r="G10" s="60" t="inlineStr">
        <is>
          <t>Pendiente</t>
        </is>
      </c>
      <c r="H10" s="55" t="inlineStr">
        <is>
          <t>Pendiente</t>
        </is>
      </c>
      <c r="I10" s="55" t="inlineStr">
        <is>
          <t>Pendiente</t>
        </is>
      </c>
      <c r="J10" s="58" t="n">
        <v>1400</v>
      </c>
      <c r="K10" s="58" t="n">
        <v>0</v>
      </c>
      <c r="L10" s="58" t="n">
        <v>1400</v>
      </c>
      <c r="M10" s="58" t="n">
        <v>760</v>
      </c>
      <c r="N10" s="58" t="n">
        <v>640</v>
      </c>
      <c r="O10" s="59">
        <f>IF(L10&gt;0,(L10-M10)/L10*100,0)</f>
        <v/>
      </c>
      <c r="P10" s="57" t="inlineStr">
        <is>
          <t>Mate F1</t>
        </is>
      </c>
    </row>
    <row r="11" ht="16" customHeight="1">
      <c r="A11" s="49" t="n">
        <v>9</v>
      </c>
      <c r="B11" s="50" t="inlineStr">
        <is>
          <t>2025-05-20</t>
        </is>
      </c>
      <c r="C11" s="49" t="n">
        <v>1</v>
      </c>
      <c r="D11" s="51" t="inlineStr">
        <is>
          <t>Martín García</t>
        </is>
      </c>
      <c r="E11" s="49" t="inlineStr">
        <is>
          <t>WooCommerce</t>
        </is>
      </c>
      <c r="F11" s="49" t="inlineStr">
        <is>
          <t>Mercado Pago</t>
        </is>
      </c>
      <c r="G11" s="52" t="inlineStr">
        <is>
          <t>Pagado</t>
        </is>
      </c>
      <c r="H11" s="49" t="inlineStr">
        <is>
          <t>Entregado</t>
        </is>
      </c>
      <c r="I11" s="49" t="inlineStr">
        <is>
          <t>Entregado</t>
        </is>
      </c>
      <c r="J11" s="53" t="n">
        <v>1200</v>
      </c>
      <c r="K11" s="53" t="n">
        <v>0</v>
      </c>
      <c r="L11" s="53" t="n">
        <v>1200</v>
      </c>
      <c r="M11" s="53" t="n">
        <v>640</v>
      </c>
      <c r="N11" s="53" t="n">
        <v>560</v>
      </c>
      <c r="O11" s="54">
        <f>IF(L11&gt;0,(L11-M11)/L11*100,0)</f>
        <v/>
      </c>
      <c r="P11" s="51" t="inlineStr">
        <is>
          <t>Gorra F1</t>
        </is>
      </c>
    </row>
    <row r="12" ht="16" customHeight="1">
      <c r="A12" s="55" t="n">
        <v>10</v>
      </c>
      <c r="B12" s="56" t="inlineStr">
        <is>
          <t>2025-05-22</t>
        </is>
      </c>
      <c r="C12" s="55" t="n">
        <v>6</v>
      </c>
      <c r="D12" s="57" t="inlineStr">
        <is>
          <t>Sofía Pérez</t>
        </is>
      </c>
      <c r="E12" s="55" t="inlineStr">
        <is>
          <t>WhatsApp</t>
        </is>
      </c>
      <c r="F12" s="55" t="inlineStr">
        <is>
          <t>Transferencia</t>
        </is>
      </c>
      <c r="G12" s="52" t="inlineStr">
        <is>
          <t>Pagado</t>
        </is>
      </c>
      <c r="H12" s="55" t="inlineStr">
        <is>
          <t>Enviado</t>
        </is>
      </c>
      <c r="I12" s="55" t="inlineStr">
        <is>
          <t>En tránsito</t>
        </is>
      </c>
      <c r="J12" s="58" t="n">
        <v>3200</v>
      </c>
      <c r="K12" s="58" t="n">
        <v>0</v>
      </c>
      <c r="L12" s="58" t="n">
        <v>3200</v>
      </c>
      <c r="M12" s="58" t="n">
        <v>1410</v>
      </c>
      <c r="N12" s="58" t="n">
        <v>1790</v>
      </c>
      <c r="O12" s="59">
        <f>IF(L12&gt;0,(L12-M12)/L12*100,0)</f>
        <v/>
      </c>
      <c r="P12" s="57" t="inlineStr">
        <is>
          <t>Neón LED F1</t>
        </is>
      </c>
    </row>
  </sheetData>
  <mergeCells count="1">
    <mergeCell ref="A1:P1"/>
  </mergeCells>
  <dataValidations count="5">
    <dataValidation sqref="E3:E100000" showDropDown="0" showInputMessage="0" showErrorMessage="0" allowBlank="1" type="list">
      <formula1>"Instagram,WhatsApp,Facebook,WooCommerce,Mercado Libre,Evento,Tienda Física,Distribuidor,Otro"</formula1>
    </dataValidation>
    <dataValidation sqref="F3:F100000" showDropDown="0" showInputMessage="0" showErrorMessage="0" allowBlank="1" type="list">
      <formula1>"Mercado Pago,Transferencia,Efectivo,Tarjeta,Otro"</formula1>
    </dataValidation>
    <dataValidation sqref="G3:G100000" showDropDown="0" showInputMessage="0" showErrorMessage="0" allowBlank="1" type="list">
      <formula1>"Pagado,Pendiente,Parcial,Cancelado,Reembolsado"</formula1>
    </dataValidation>
    <dataValidation sqref="H3:H100000" showDropDown="0" showInputMessage="0" showErrorMessage="0" allowBlank="1" type="list">
      <formula1>"Pendiente,En proceso,Listo,Enviado,Entregado,Cancelado"</formula1>
    </dataValidation>
    <dataValidation sqref="I3:I100000" showDropDown="0" showInputMessage="0" showErrorMessage="0" allowBlank="1" type="list">
      <formula1>"Pendiente,En tránsito,Entregado,Retiró,Sin envío,Devuelto"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I13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2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61" t="inlineStr">
        <is>
          <t>📋  DETALLE DE VENTAS — LÍNEAS DE PEDIDO</t>
        </is>
      </c>
    </row>
    <row r="2" ht="22" customHeight="1">
      <c r="A2" s="62" t="inlineStr">
        <is>
          <t>ID Detalle</t>
        </is>
      </c>
      <c r="B2" s="62" t="inlineStr">
        <is>
          <t>ID Venta</t>
        </is>
      </c>
      <c r="C2" s="62" t="inlineStr">
        <is>
          <t>SKU</t>
        </is>
      </c>
      <c r="D2" s="62" t="inlineStr">
        <is>
          <t>Producto</t>
        </is>
      </c>
      <c r="E2" s="62" t="inlineStr">
        <is>
          <t>Cantidad</t>
        </is>
      </c>
      <c r="F2" s="62" t="inlineStr">
        <is>
          <t>Precio Unit.</t>
        </is>
      </c>
      <c r="G2" s="62" t="inlineStr">
        <is>
          <t>Subtotal</t>
        </is>
      </c>
      <c r="H2" s="62" t="inlineStr">
        <is>
          <t>Costo Unit.</t>
        </is>
      </c>
      <c r="I2" s="62" t="inlineStr">
        <is>
          <t>Ganancia</t>
        </is>
      </c>
    </row>
    <row r="3" ht="16" customHeight="1">
      <c r="A3" s="49" t="n">
        <v>1</v>
      </c>
      <c r="B3" s="49" t="n">
        <v>1</v>
      </c>
      <c r="C3" s="51" t="inlineStr">
        <is>
          <t>IMP3D-001</t>
        </is>
      </c>
      <c r="D3" s="51" t="inlineStr">
        <is>
          <t>Alerón F1 Escala 1:18</t>
        </is>
      </c>
      <c r="E3" s="49" t="n">
        <v>1</v>
      </c>
      <c r="F3" s="53" t="n">
        <v>450</v>
      </c>
      <c r="G3" s="53">
        <f>E3*F3</f>
        <v/>
      </c>
      <c r="H3" s="53" t="n">
        <v>230</v>
      </c>
      <c r="I3" s="53">
        <f>G3-(E3*H3)</f>
        <v/>
      </c>
    </row>
    <row r="4" ht="16" customHeight="1">
      <c r="A4" s="55" t="n">
        <v>2</v>
      </c>
      <c r="B4" s="55" t="n">
        <v>2</v>
      </c>
      <c r="C4" s="57" t="inlineStr">
        <is>
          <t>IMP3D-002</t>
        </is>
      </c>
      <c r="D4" s="57" t="inlineStr">
        <is>
          <t>Circuito Monaco Mini</t>
        </is>
      </c>
      <c r="E4" s="55" t="n">
        <v>1</v>
      </c>
      <c r="F4" s="58" t="n">
        <v>380</v>
      </c>
      <c r="G4" s="58">
        <f>E4*F4</f>
        <v/>
      </c>
      <c r="H4" s="58" t="n">
        <v>195</v>
      </c>
      <c r="I4" s="58">
        <f>G4-(E4*H4)</f>
        <v/>
      </c>
    </row>
    <row r="5" ht="16" customHeight="1">
      <c r="A5" s="49" t="n">
        <v>3</v>
      </c>
      <c r="B5" s="49" t="n">
        <v>3</v>
      </c>
      <c r="C5" s="51" t="inlineStr">
        <is>
          <t>INDUM-001</t>
        </is>
      </c>
      <c r="D5" s="51" t="inlineStr">
        <is>
          <t>Hoodie F1</t>
        </is>
      </c>
      <c r="E5" s="49" t="n">
        <v>1</v>
      </c>
      <c r="F5" s="53" t="n">
        <v>2200</v>
      </c>
      <c r="G5" s="53">
        <f>E5*F5</f>
        <v/>
      </c>
      <c r="H5" s="53" t="n">
        <v>1310</v>
      </c>
      <c r="I5" s="53">
        <f>G5-(E5*H5)</f>
        <v/>
      </c>
    </row>
    <row r="6" ht="16" customHeight="1">
      <c r="A6" s="55" t="n">
        <v>4</v>
      </c>
      <c r="B6" s="55" t="n">
        <v>4</v>
      </c>
      <c r="C6" s="57" t="inlineStr">
        <is>
          <t>ILUM-001</t>
        </is>
      </c>
      <c r="D6" s="57" t="inlineStr">
        <is>
          <t>Lámpara LED F1</t>
        </is>
      </c>
      <c r="E6" s="55" t="n">
        <v>1</v>
      </c>
      <c r="F6" s="58" t="n">
        <v>1800</v>
      </c>
      <c r="G6" s="58">
        <f>E6*F6</f>
        <v/>
      </c>
      <c r="H6" s="58" t="n">
        <v>845</v>
      </c>
      <c r="I6" s="58">
        <f>G6-(E6*H6)</f>
        <v/>
      </c>
    </row>
    <row r="7" ht="16" customHeight="1">
      <c r="A7" s="49" t="n">
        <v>5</v>
      </c>
      <c r="B7" s="49" t="n">
        <v>5</v>
      </c>
      <c r="C7" s="51" t="inlineStr">
        <is>
          <t>INDUM-002</t>
        </is>
      </c>
      <c r="D7" s="51" t="inlineStr">
        <is>
          <t>Remera F1</t>
        </is>
      </c>
      <c r="E7" s="49" t="n">
        <v>1</v>
      </c>
      <c r="F7" s="53" t="n">
        <v>1100</v>
      </c>
      <c r="G7" s="53">
        <f>E7*F7</f>
        <v/>
      </c>
      <c r="H7" s="53" t="n">
        <v>635</v>
      </c>
      <c r="I7" s="53">
        <f>G7-(E7*H7)</f>
        <v/>
      </c>
    </row>
    <row r="8" ht="16" customHeight="1">
      <c r="A8" s="55" t="n">
        <v>6</v>
      </c>
      <c r="B8" s="55" t="n">
        <v>6</v>
      </c>
      <c r="C8" s="57" t="inlineStr">
        <is>
          <t>IMP3D-004</t>
        </is>
      </c>
      <c r="D8" s="57" t="inlineStr">
        <is>
          <t>Llavero F1</t>
        </is>
      </c>
      <c r="E8" s="55" t="n">
        <v>1</v>
      </c>
      <c r="F8" s="58" t="n">
        <v>90</v>
      </c>
      <c r="G8" s="58">
        <f>E8*F8</f>
        <v/>
      </c>
      <c r="H8" s="58" t="n">
        <v>31</v>
      </c>
      <c r="I8" s="58">
        <f>G8-(E8*H8)</f>
        <v/>
      </c>
    </row>
    <row r="9" ht="16" customHeight="1">
      <c r="A9" s="49" t="n">
        <v>7</v>
      </c>
      <c r="B9" s="49" t="n">
        <v>7</v>
      </c>
      <c r="C9" s="51" t="inlineStr">
        <is>
          <t>IMP3D-003</t>
        </is>
      </c>
      <c r="D9" s="51" t="inlineStr">
        <is>
          <t>Mini Garaje F1</t>
        </is>
      </c>
      <c r="E9" s="49" t="n">
        <v>1</v>
      </c>
      <c r="F9" s="53" t="n">
        <v>550</v>
      </c>
      <c r="G9" s="53">
        <f>E9*F9</f>
        <v/>
      </c>
      <c r="H9" s="53" t="n">
        <v>285</v>
      </c>
      <c r="I9" s="53">
        <f>G9-(E9*H9)</f>
        <v/>
      </c>
    </row>
    <row r="10" ht="16" customHeight="1">
      <c r="A10" s="55" t="n">
        <v>8</v>
      </c>
      <c r="B10" s="55" t="n">
        <v>8</v>
      </c>
      <c r="C10" s="57" t="inlineStr">
        <is>
          <t>TERM-001</t>
        </is>
      </c>
      <c r="D10" s="57" t="inlineStr">
        <is>
          <t>Mate F1 Personalizado</t>
        </is>
      </c>
      <c r="E10" s="55" t="n">
        <v>1</v>
      </c>
      <c r="F10" s="58" t="n">
        <v>1400</v>
      </c>
      <c r="G10" s="58">
        <f>E10*F10</f>
        <v/>
      </c>
      <c r="H10" s="58" t="n">
        <v>760</v>
      </c>
      <c r="I10" s="58">
        <f>G10-(E10*H10)</f>
        <v/>
      </c>
    </row>
    <row r="11" ht="16" customHeight="1">
      <c r="A11" s="49" t="n">
        <v>9</v>
      </c>
      <c r="B11" s="49" t="n">
        <v>9</v>
      </c>
      <c r="C11" s="51" t="inlineStr">
        <is>
          <t>INDUM-003</t>
        </is>
      </c>
      <c r="D11" s="51" t="inlineStr">
        <is>
          <t>Gorra F1</t>
        </is>
      </c>
      <c r="E11" s="49" t="n">
        <v>1</v>
      </c>
      <c r="F11" s="53" t="n">
        <v>1200</v>
      </c>
      <c r="G11" s="53">
        <f>E11*F11</f>
        <v/>
      </c>
      <c r="H11" s="53" t="n">
        <v>640</v>
      </c>
      <c r="I11" s="53">
        <f>G11-(E11*H11)</f>
        <v/>
      </c>
    </row>
    <row r="12" ht="16" customHeight="1">
      <c r="A12" s="55" t="n">
        <v>10</v>
      </c>
      <c r="B12" s="55" t="n">
        <v>10</v>
      </c>
      <c r="C12" s="57" t="inlineStr">
        <is>
          <t>ILUM-002</t>
        </is>
      </c>
      <c r="D12" s="57" t="inlineStr">
        <is>
          <t>Neón LED F1</t>
        </is>
      </c>
      <c r="E12" s="55" t="n">
        <v>1</v>
      </c>
      <c r="F12" s="58" t="n">
        <v>3200</v>
      </c>
      <c r="G12" s="58">
        <f>E12*F12</f>
        <v/>
      </c>
      <c r="H12" s="58" t="n">
        <v>1410</v>
      </c>
      <c r="I12" s="58">
        <f>G12-(E12*H12)</f>
        <v/>
      </c>
    </row>
    <row r="13" ht="16" customHeight="1">
      <c r="A13" s="49" t="n">
        <v>11</v>
      </c>
      <c r="B13" s="49" t="n">
        <v>3</v>
      </c>
      <c r="C13" s="51" t="inlineStr">
        <is>
          <t>IMP3D-001</t>
        </is>
      </c>
      <c r="D13" s="51" t="inlineStr">
        <is>
          <t>Alerón F1 Escala 1:18</t>
        </is>
      </c>
      <c r="E13" s="49" t="n">
        <v>0</v>
      </c>
      <c r="F13" s="53" t="n">
        <v>0</v>
      </c>
      <c r="G13" s="53">
        <f>E13*F13</f>
        <v/>
      </c>
      <c r="H13" s="53" t="n">
        <v>0</v>
      </c>
      <c r="I13" s="53">
        <f>G13-(E13*H13)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B71C1C"/>
    <outlinePr summaryBelow="1" summaryRight="1"/>
    <pageSetUpPr/>
  </sheetPr>
  <dimension ref="A1:I14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20" customWidth="1" min="5" max="5"/>
    <col width="30" customWidth="1" min="6" max="6"/>
    <col width="12" customWidth="1" min="7" max="7"/>
    <col width="14" customWidth="1" min="8" max="8"/>
    <col width="15" customWidth="1" min="9" max="9"/>
  </cols>
  <sheetData>
    <row r="1" ht="28" customHeight="1">
      <c r="A1" s="63" t="inlineStr">
        <is>
          <t>💸  GASTOS — REGISTRO COMPLETO</t>
        </is>
      </c>
    </row>
    <row r="2" ht="22" customHeight="1">
      <c r="A2" s="64" t="inlineStr">
        <is>
          <t>ID</t>
        </is>
      </c>
      <c r="B2" s="64" t="inlineStr">
        <is>
          <t>Fecha</t>
        </is>
      </c>
      <c r="C2" s="64" t="inlineStr">
        <is>
          <t>Categoría</t>
        </is>
      </c>
      <c r="D2" s="64" t="inlineStr">
        <is>
          <t>Subcategoría</t>
        </is>
      </c>
      <c r="E2" s="64" t="inlineStr">
        <is>
          <t>Proveedor</t>
        </is>
      </c>
      <c r="F2" s="64" t="inlineStr">
        <is>
          <t>Descripción</t>
        </is>
      </c>
      <c r="G2" s="64" t="inlineStr">
        <is>
          <t>Monto</t>
        </is>
      </c>
      <c r="H2" s="64" t="inlineStr">
        <is>
          <t>Método Pago</t>
        </is>
      </c>
      <c r="I2" s="64" t="inlineStr">
        <is>
          <t>Comprobante</t>
        </is>
      </c>
    </row>
    <row r="3" ht="16" customHeight="1">
      <c r="A3" s="65" t="n">
        <v>1</v>
      </c>
      <c r="B3" s="66" t="inlineStr">
        <is>
          <t>2025-05-01</t>
        </is>
      </c>
      <c r="C3" s="65" t="inlineStr">
        <is>
          <t>Filamento</t>
        </is>
      </c>
      <c r="D3" s="65" t="inlineStr">
        <is>
          <t>PLA</t>
        </is>
      </c>
      <c r="E3" s="67" t="inlineStr">
        <is>
          <t>FilaPrint</t>
        </is>
      </c>
      <c r="F3" s="67" t="inlineStr">
        <is>
          <t>Filamento PLA 1kg x3 rollos</t>
        </is>
      </c>
      <c r="G3" s="68" t="n">
        <v>1800</v>
      </c>
      <c r="H3" s="65" t="inlineStr">
        <is>
          <t>Transferencia</t>
        </is>
      </c>
      <c r="I3" s="67" t="inlineStr">
        <is>
          <t>FAC-001</t>
        </is>
      </c>
    </row>
    <row r="4" ht="16" customHeight="1">
      <c r="A4" s="69" t="n">
        <v>2</v>
      </c>
      <c r="B4" s="70" t="inlineStr">
        <is>
          <t>2025-05-02</t>
        </is>
      </c>
      <c r="C4" s="69" t="inlineStr">
        <is>
          <t>Publicidad</t>
        </is>
      </c>
      <c r="D4" s="69" t="inlineStr">
        <is>
          <t>Meta Ads</t>
        </is>
      </c>
      <c r="E4" s="71" t="inlineStr">
        <is>
          <t>Meta</t>
        </is>
      </c>
      <c r="F4" s="71" t="inlineStr">
        <is>
          <t>Campaña Mayo Instagram</t>
        </is>
      </c>
      <c r="G4" s="72" t="n">
        <v>2500</v>
      </c>
      <c r="H4" s="69" t="inlineStr">
        <is>
          <t>Tarjeta</t>
        </is>
      </c>
      <c r="I4" s="71" t="inlineStr">
        <is>
          <t>AUTO</t>
        </is>
      </c>
    </row>
    <row r="5" ht="16" customHeight="1">
      <c r="A5" s="73" t="n">
        <v>3</v>
      </c>
      <c r="B5" s="74" t="inlineStr">
        <is>
          <t>2025-05-03</t>
        </is>
      </c>
      <c r="C5" s="73" t="inlineStr">
        <is>
          <t>Packaging</t>
        </is>
      </c>
      <c r="D5" s="73" t="inlineStr">
        <is>
          <t>Cajas</t>
        </is>
      </c>
      <c r="E5" s="75" t="inlineStr">
        <is>
          <t>PackUY</t>
        </is>
      </c>
      <c r="F5" s="75" t="inlineStr">
        <is>
          <t>Cajas + papel kraft 100u</t>
        </is>
      </c>
      <c r="G5" s="76" t="n">
        <v>650</v>
      </c>
      <c r="H5" s="73" t="inlineStr">
        <is>
          <t>Efectivo</t>
        </is>
      </c>
      <c r="I5" s="75" t="inlineStr">
        <is>
          <t>FAC-002</t>
        </is>
      </c>
    </row>
    <row r="6" ht="16" customHeight="1">
      <c r="A6" s="77" t="n">
        <v>4</v>
      </c>
      <c r="B6" s="78" t="inlineStr">
        <is>
          <t>2025-05-05</t>
        </is>
      </c>
      <c r="C6" s="77" t="inlineStr">
        <is>
          <t>Software</t>
        </is>
      </c>
      <c r="D6" s="77" t="inlineStr">
        <is>
          <t>SaaS</t>
        </is>
      </c>
      <c r="E6" s="79" t="inlineStr">
        <is>
          <t>Canva Pro</t>
        </is>
      </c>
      <c r="F6" s="79" t="inlineStr">
        <is>
          <t>Suscripción mensual</t>
        </is>
      </c>
      <c r="G6" s="80" t="n">
        <v>350</v>
      </c>
      <c r="H6" s="77" t="inlineStr">
        <is>
          <t>Tarjeta</t>
        </is>
      </c>
      <c r="I6" s="79" t="inlineStr">
        <is>
          <t>REC-001</t>
        </is>
      </c>
    </row>
    <row r="7" ht="16" customHeight="1">
      <c r="A7" s="81" t="n">
        <v>5</v>
      </c>
      <c r="B7" s="82" t="inlineStr">
        <is>
          <t>2025-05-07</t>
        </is>
      </c>
      <c r="C7" s="81" t="inlineStr">
        <is>
          <t>DTF</t>
        </is>
      </c>
      <c r="D7" s="81" t="inlineStr">
        <is>
          <t>Impresión</t>
        </is>
      </c>
      <c r="E7" s="83" t="inlineStr">
        <is>
          <t>DTF Uruguay</t>
        </is>
      </c>
      <c r="F7" s="83" t="inlineStr">
        <is>
          <t>Sublimación hoodies x10</t>
        </is>
      </c>
      <c r="G7" s="84" t="n">
        <v>800</v>
      </c>
      <c r="H7" s="81" t="inlineStr">
        <is>
          <t>Transferencia</t>
        </is>
      </c>
      <c r="I7" s="83" t="inlineStr">
        <is>
          <t>FAC-003</t>
        </is>
      </c>
    </row>
    <row r="8" ht="16" customHeight="1">
      <c r="A8" s="85" t="n">
        <v>6</v>
      </c>
      <c r="B8" s="86" t="inlineStr">
        <is>
          <t>2025-05-10</t>
        </is>
      </c>
      <c r="C8" s="85" t="inlineStr">
        <is>
          <t>Envíos</t>
        </is>
      </c>
      <c r="D8" s="85" t="inlineStr">
        <is>
          <t>DAC</t>
        </is>
      </c>
      <c r="E8" s="87" t="inlineStr">
        <is>
          <t>DAC</t>
        </is>
      </c>
      <c r="F8" s="87" t="inlineStr">
        <is>
          <t>Envíos mayo semana 1</t>
        </is>
      </c>
      <c r="G8" s="88" t="n">
        <v>480</v>
      </c>
      <c r="H8" s="85" t="inlineStr">
        <is>
          <t>Efectivo</t>
        </is>
      </c>
      <c r="I8" s="87" t="inlineStr">
        <is>
          <t>REC-002</t>
        </is>
      </c>
    </row>
    <row r="9" ht="16" customHeight="1">
      <c r="A9" s="89" t="n">
        <v>7</v>
      </c>
      <c r="B9" s="90" t="inlineStr">
        <is>
          <t>2025-05-12</t>
        </is>
      </c>
      <c r="C9" s="89" t="inlineStr">
        <is>
          <t>Equipamiento</t>
        </is>
      </c>
      <c r="D9" s="89" t="inlineStr">
        <is>
          <t>Consumibles</t>
        </is>
      </c>
      <c r="E9" s="91" t="inlineStr">
        <is>
          <t>3D Store</t>
        </is>
      </c>
      <c r="F9" s="91" t="inlineStr">
        <is>
          <t>Nozzle 0.4mm x5 + rodamientos</t>
        </is>
      </c>
      <c r="G9" s="92" t="n">
        <v>420</v>
      </c>
      <c r="H9" s="89" t="inlineStr">
        <is>
          <t>Transferencia</t>
        </is>
      </c>
      <c r="I9" s="91" t="inlineStr">
        <is>
          <t>FAC-004</t>
        </is>
      </c>
    </row>
    <row r="10" ht="16" customHeight="1">
      <c r="A10" s="93" t="n">
        <v>8</v>
      </c>
      <c r="B10" s="94" t="inlineStr">
        <is>
          <t>2025-05-15</t>
        </is>
      </c>
      <c r="C10" s="93" t="inlineStr">
        <is>
          <t>Servicios</t>
        </is>
      </c>
      <c r="D10" s="93" t="inlineStr">
        <is>
          <t>Electricidad</t>
        </is>
      </c>
      <c r="E10" s="95" t="inlineStr">
        <is>
          <t>UTE</t>
        </is>
      </c>
      <c r="F10" s="95" t="inlineStr">
        <is>
          <t>Factura eléctrica mayo</t>
        </is>
      </c>
      <c r="G10" s="96" t="n">
        <v>1200</v>
      </c>
      <c r="H10" s="93" t="inlineStr">
        <is>
          <t>Débito</t>
        </is>
      </c>
      <c r="I10" s="95" t="inlineStr">
        <is>
          <t>FAC-005</t>
        </is>
      </c>
    </row>
    <row r="11" ht="16" customHeight="1">
      <c r="A11" s="69" t="n">
        <v>9</v>
      </c>
      <c r="B11" s="70" t="inlineStr">
        <is>
          <t>2025-05-18</t>
        </is>
      </c>
      <c r="C11" s="69" t="inlineStr">
        <is>
          <t>Publicidad</t>
        </is>
      </c>
      <c r="D11" s="69" t="inlineStr">
        <is>
          <t>Meta Ads</t>
        </is>
      </c>
      <c r="E11" s="71" t="inlineStr">
        <is>
          <t>Meta</t>
        </is>
      </c>
      <c r="F11" s="71" t="inlineStr">
        <is>
          <t>Campaña Mayo Facebook</t>
        </is>
      </c>
      <c r="G11" s="72" t="n">
        <v>1500</v>
      </c>
      <c r="H11" s="69" t="inlineStr">
        <is>
          <t>Tarjeta</t>
        </is>
      </c>
      <c r="I11" s="71" t="inlineStr">
        <is>
          <t>AUTO</t>
        </is>
      </c>
    </row>
    <row r="12" ht="16" customHeight="1">
      <c r="A12" s="65" t="n">
        <v>10</v>
      </c>
      <c r="B12" s="66" t="inlineStr">
        <is>
          <t>2025-05-20</t>
        </is>
      </c>
      <c r="C12" s="65" t="inlineStr">
        <is>
          <t>Filamento</t>
        </is>
      </c>
      <c r="D12" s="65" t="inlineStr">
        <is>
          <t>PETG</t>
        </is>
      </c>
      <c r="E12" s="67" t="inlineStr">
        <is>
          <t>FilaPrint</t>
        </is>
      </c>
      <c r="F12" s="67" t="inlineStr">
        <is>
          <t>Filamento PETG negro 1kg</t>
        </is>
      </c>
      <c r="G12" s="68" t="n">
        <v>650</v>
      </c>
      <c r="H12" s="65" t="inlineStr">
        <is>
          <t>Transferencia</t>
        </is>
      </c>
      <c r="I12" s="67" t="inlineStr">
        <is>
          <t>FAC-006</t>
        </is>
      </c>
    </row>
    <row r="13" ht="16" customHeight="1">
      <c r="A13" s="77" t="n">
        <v>11</v>
      </c>
      <c r="B13" s="78" t="inlineStr">
        <is>
          <t>2025-05-22</t>
        </is>
      </c>
      <c r="C13" s="77" t="inlineStr">
        <is>
          <t>Software</t>
        </is>
      </c>
      <c r="D13" s="77" t="inlineStr">
        <is>
          <t>SaaS</t>
        </is>
      </c>
      <c r="E13" s="79" t="inlineStr">
        <is>
          <t>WooCommerce</t>
        </is>
      </c>
      <c r="F13" s="79" t="inlineStr">
        <is>
          <t>Plugin WooCommerce</t>
        </is>
      </c>
      <c r="G13" s="80" t="n">
        <v>280</v>
      </c>
      <c r="H13" s="77" t="inlineStr">
        <is>
          <t>Tarjeta</t>
        </is>
      </c>
      <c r="I13" s="79" t="inlineStr">
        <is>
          <t>REC-003</t>
        </is>
      </c>
    </row>
    <row r="14" ht="16" customHeight="1">
      <c r="A14" s="85" t="n">
        <v>12</v>
      </c>
      <c r="B14" s="86" t="inlineStr">
        <is>
          <t>2025-05-25</t>
        </is>
      </c>
      <c r="C14" s="85" t="inlineStr">
        <is>
          <t>Envíos</t>
        </is>
      </c>
      <c r="D14" s="85" t="inlineStr">
        <is>
          <t>DAC</t>
        </is>
      </c>
      <c r="E14" s="87" t="inlineStr">
        <is>
          <t>DAC</t>
        </is>
      </c>
      <c r="F14" s="87" t="inlineStr">
        <is>
          <t>Envíos mayo semana 2</t>
        </is>
      </c>
      <c r="G14" s="88" t="n">
        <v>360</v>
      </c>
      <c r="H14" s="85" t="inlineStr">
        <is>
          <t>Efectivo</t>
        </is>
      </c>
      <c r="I14" s="87" t="inlineStr">
        <is>
          <t>REC-004</t>
        </is>
      </c>
    </row>
  </sheetData>
  <mergeCells count="1">
    <mergeCell ref="A1:I1"/>
  </mergeCells>
  <dataValidations count="2">
    <dataValidation sqref="C3:C100000" showDropDown="0" showInputMessage="0" showErrorMessage="0" allowBlank="1" type="list">
      <formula1>"Publicidad,Software,Filamento,DTF,Packaging,Envíos,Equipamiento,Servicios,Impuestos,Combustible,Herramientas,Otros"</formula1>
    </dataValidation>
    <dataValidation sqref="H3:H100000" showDropDown="0" showInputMessage="0" showErrorMessage="0" allowBlank="1" type="list">
      <formula1>"Mercado Pago,Transferencia,Efectivo,Tarjeta,Débito,Otro"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565C0"/>
    <outlinePr summaryBelow="1" summaryRight="1"/>
    <pageSetUpPr/>
  </sheetPr>
  <dimension ref="A1:N8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5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  <col width="8" customWidth="1" min="9" max="9"/>
    <col width="10" customWidth="1" min="10" max="10"/>
    <col width="9" customWidth="1" min="11" max="11"/>
    <col width="9" customWidth="1" min="12" max="12"/>
    <col width="13" customWidth="1" min="13" max="13"/>
    <col width="9" customWidth="1" min="14" max="14"/>
  </cols>
  <sheetData>
    <row r="1" ht="28" customHeight="1">
      <c r="A1" s="61" t="inlineStr">
        <is>
          <t>📣  PUBLICIDAD — META ADS &amp; GOOGLE ADS</t>
        </is>
      </c>
    </row>
    <row r="2" ht="22" customHeight="1">
      <c r="A2" s="62" t="inlineStr">
        <is>
          <t>ID</t>
        </is>
      </c>
      <c r="B2" s="62" t="inlineStr">
        <is>
          <t>Fecha</t>
        </is>
      </c>
      <c r="C2" s="62" t="inlineStr">
        <is>
          <t>Campaña</t>
        </is>
      </c>
      <c r="D2" s="62" t="inlineStr">
        <is>
          <t>Objetivo</t>
        </is>
      </c>
      <c r="E2" s="62" t="inlineStr">
        <is>
          <t>Canal</t>
        </is>
      </c>
      <c r="F2" s="62" t="inlineStr">
        <is>
          <t>Inversión</t>
        </is>
      </c>
      <c r="G2" s="62" t="inlineStr">
        <is>
          <t>Alcance</t>
        </is>
      </c>
      <c r="H2" s="62" t="inlineStr">
        <is>
          <t>Clicks</t>
        </is>
      </c>
      <c r="I2" s="62" t="inlineStr">
        <is>
          <t>CTR %</t>
        </is>
      </c>
      <c r="J2" s="62" t="inlineStr">
        <is>
          <t>Consultas</t>
        </is>
      </c>
      <c r="K2" s="62" t="inlineStr">
        <is>
          <t>Leads</t>
        </is>
      </c>
      <c r="L2" s="62" t="inlineStr">
        <is>
          <t>Ventas</t>
        </is>
      </c>
      <c r="M2" s="62" t="inlineStr">
        <is>
          <t>Facturación</t>
        </is>
      </c>
      <c r="N2" s="62" t="inlineStr">
        <is>
          <t>ROAS</t>
        </is>
      </c>
    </row>
    <row r="3" ht="16" customHeight="1">
      <c r="A3" s="49" t="n">
        <v>1</v>
      </c>
      <c r="B3" s="50" t="inlineStr">
        <is>
          <t>2025-05-01</t>
        </is>
      </c>
      <c r="C3" s="51" t="inlineStr">
        <is>
          <t>Alerones F1 Mayo</t>
        </is>
      </c>
      <c r="D3" s="51" t="inlineStr">
        <is>
          <t>Conversiones</t>
        </is>
      </c>
      <c r="E3" s="49" t="inlineStr">
        <is>
          <t>Instagram</t>
        </is>
      </c>
      <c r="F3" s="53" t="n">
        <v>1200</v>
      </c>
      <c r="G3" s="53" t="n">
        <v>8500</v>
      </c>
      <c r="H3" s="53" t="n">
        <v>320</v>
      </c>
      <c r="I3" s="97">
        <f>IF(G3&gt;0,H3/G3*100,0)</f>
        <v/>
      </c>
      <c r="J3" s="53" t="n">
        <v>28</v>
      </c>
      <c r="K3" s="53" t="n">
        <v>15</v>
      </c>
      <c r="L3" s="53" t="n">
        <v>6</v>
      </c>
      <c r="M3" s="53" t="n">
        <v>2700</v>
      </c>
      <c r="N3" s="98">
        <f>IF(F3&gt;0,M3/F3,0)</f>
        <v/>
      </c>
    </row>
    <row r="4" ht="16" customHeight="1">
      <c r="A4" s="55" t="n">
        <v>2</v>
      </c>
      <c r="B4" s="56" t="inlineStr">
        <is>
          <t>2025-05-01</t>
        </is>
      </c>
      <c r="C4" s="57" t="inlineStr">
        <is>
          <t>Hoodies F1 Mayo</t>
        </is>
      </c>
      <c r="D4" s="57" t="inlineStr">
        <is>
          <t>Alcance</t>
        </is>
      </c>
      <c r="E4" s="55" t="inlineStr">
        <is>
          <t>Facebook</t>
        </is>
      </c>
      <c r="F4" s="58" t="n">
        <v>800</v>
      </c>
      <c r="G4" s="58" t="n">
        <v>12000</v>
      </c>
      <c r="H4" s="58" t="n">
        <v>180</v>
      </c>
      <c r="I4" s="99">
        <f>IF(G4&gt;0,H4/G4*100,0)</f>
        <v/>
      </c>
      <c r="J4" s="58" t="n">
        <v>12</v>
      </c>
      <c r="K4" s="58" t="n">
        <v>8</v>
      </c>
      <c r="L4" s="58" t="n">
        <v>3</v>
      </c>
      <c r="M4" s="58" t="n">
        <v>6600</v>
      </c>
      <c r="N4" s="100">
        <f>IF(F4&gt;0,M4/F4,0)</f>
        <v/>
      </c>
    </row>
    <row r="5" ht="16" customHeight="1">
      <c r="A5" s="49" t="n">
        <v>3</v>
      </c>
      <c r="B5" s="50" t="inlineStr">
        <is>
          <t>2025-05-08</t>
        </is>
      </c>
      <c r="C5" s="51" t="inlineStr">
        <is>
          <t>Lanzamiento Neones</t>
        </is>
      </c>
      <c r="D5" s="51" t="inlineStr">
        <is>
          <t>Conversiones</t>
        </is>
      </c>
      <c r="E5" s="49" t="inlineStr">
        <is>
          <t>Instagram</t>
        </is>
      </c>
      <c r="F5" s="53" t="n">
        <v>1500</v>
      </c>
      <c r="G5" s="53" t="n">
        <v>10200</v>
      </c>
      <c r="H5" s="53" t="n">
        <v>450</v>
      </c>
      <c r="I5" s="97">
        <f>IF(G5&gt;0,H5/G5*100,0)</f>
        <v/>
      </c>
      <c r="J5" s="53" t="n">
        <v>35</v>
      </c>
      <c r="K5" s="53" t="n">
        <v>22</v>
      </c>
      <c r="L5" s="53" t="n">
        <v>9</v>
      </c>
      <c r="M5" s="53" t="n">
        <v>28800</v>
      </c>
      <c r="N5" s="100">
        <f>IF(F5&gt;0,M5/F5,0)</f>
        <v/>
      </c>
    </row>
    <row r="6" ht="16" customHeight="1">
      <c r="A6" s="55" t="n">
        <v>4</v>
      </c>
      <c r="B6" s="56" t="inlineStr">
        <is>
          <t>2025-05-15</t>
        </is>
      </c>
      <c r="C6" s="57" t="inlineStr">
        <is>
          <t>Regalos Día del Padre</t>
        </is>
      </c>
      <c r="D6" s="57" t="inlineStr">
        <is>
          <t>Conversiones</t>
        </is>
      </c>
      <c r="E6" s="55" t="inlineStr">
        <is>
          <t>Instagram</t>
        </is>
      </c>
      <c r="F6" s="58" t="n">
        <v>2000</v>
      </c>
      <c r="G6" s="58" t="n">
        <v>15800</v>
      </c>
      <c r="H6" s="58" t="n">
        <v>620</v>
      </c>
      <c r="I6" s="99">
        <f>IF(G6&gt;0,H6/G6*100,0)</f>
        <v/>
      </c>
      <c r="J6" s="58" t="n">
        <v>48</v>
      </c>
      <c r="K6" s="58" t="n">
        <v>30</v>
      </c>
      <c r="L6" s="58" t="n">
        <v>14</v>
      </c>
      <c r="M6" s="58" t="n">
        <v>18200</v>
      </c>
      <c r="N6" s="100">
        <f>IF(F6&gt;0,M6/F6,0)</f>
        <v/>
      </c>
    </row>
    <row r="7" ht="16" customHeight="1">
      <c r="A7" s="49" t="n">
        <v>5</v>
      </c>
      <c r="B7" s="50" t="inlineStr">
        <is>
          <t>2025-05-15</t>
        </is>
      </c>
      <c r="C7" s="51" t="inlineStr">
        <is>
          <t>Regalos Día del Padre</t>
        </is>
      </c>
      <c r="D7" s="51" t="inlineStr">
        <is>
          <t>Conversiones</t>
        </is>
      </c>
      <c r="E7" s="49" t="inlineStr">
        <is>
          <t>Facebook</t>
        </is>
      </c>
      <c r="F7" s="53" t="n">
        <v>1000</v>
      </c>
      <c r="G7" s="53" t="n">
        <v>9500</v>
      </c>
      <c r="H7" s="53" t="n">
        <v>280</v>
      </c>
      <c r="I7" s="97">
        <f>IF(G7&gt;0,H7/G7*100,0)</f>
        <v/>
      </c>
      <c r="J7" s="53" t="n">
        <v>20</v>
      </c>
      <c r="K7" s="53" t="n">
        <v>12</v>
      </c>
      <c r="L7" s="53" t="n">
        <v>5</v>
      </c>
      <c r="M7" s="53" t="n">
        <v>6500</v>
      </c>
      <c r="N7" s="100">
        <f>IF(F7&gt;0,M7/F7,0)</f>
        <v/>
      </c>
    </row>
    <row r="8" ht="16" customHeight="1">
      <c r="A8" s="55" t="n">
        <v>6</v>
      </c>
      <c r="B8" s="56" t="inlineStr">
        <is>
          <t>2025-05-22</t>
        </is>
      </c>
      <c r="C8" s="57" t="inlineStr">
        <is>
          <t>Mates F1 Flash</t>
        </is>
      </c>
      <c r="D8" s="57" t="inlineStr">
        <is>
          <t>Tráfico</t>
        </is>
      </c>
      <c r="E8" s="55" t="inlineStr">
        <is>
          <t>Instagram</t>
        </is>
      </c>
      <c r="F8" s="58" t="n">
        <v>500</v>
      </c>
      <c r="G8" s="58" t="n">
        <v>4200</v>
      </c>
      <c r="H8" s="58" t="n">
        <v>150</v>
      </c>
      <c r="I8" s="99">
        <f>IF(G8&gt;0,H8/G8*100,0)</f>
        <v/>
      </c>
      <c r="J8" s="58" t="n">
        <v>18</v>
      </c>
      <c r="K8" s="58" t="n">
        <v>10</v>
      </c>
      <c r="L8" s="58" t="n">
        <v>4</v>
      </c>
      <c r="M8" s="58" t="n">
        <v>5600</v>
      </c>
      <c r="N8" s="100">
        <f>IF(F8&gt;0,M8/F8,0)</f>
        <v/>
      </c>
    </row>
  </sheetData>
  <mergeCells count="1">
    <mergeCell ref="A1:N1"/>
  </mergeCells>
  <dataValidations count="2">
    <dataValidation sqref="D3:D100000" showDropDown="0" showInputMessage="0" showErrorMessage="0" allowBlank="1" type="list">
      <formula1>"Conversiones,Alcance,Tráfico,Interacción,Retargeting,Leads,Branding"</formula1>
    </dataValidation>
    <dataValidation sqref="E3:E100000" showDropDown="0" showInputMessage="0" showErrorMessage="0" allowBlank="1" type="list">
      <formula1>"Instagram,Facebook,Google,TikTok,Email,WhatsApp,Otro"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0695C"/>
    <outlinePr summaryBelow="1" summaryRight="1"/>
    <pageSetUpPr/>
  </sheetPr>
  <dimension ref="A1:K8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10" customWidth="1" min="9" max="9"/>
    <col width="14" customWidth="1" min="10" max="10"/>
    <col width="13" customWidth="1" min="11" max="11"/>
  </cols>
  <sheetData>
    <row r="1" ht="28" customHeight="1">
      <c r="A1" s="101" t="inlineStr">
        <is>
          <t>🚚  ENVÍOS — SEGUIMIENTO LOGÍSTICO</t>
        </is>
      </c>
    </row>
    <row r="2" ht="22" customHeight="1">
      <c r="A2" s="102" t="inlineStr">
        <is>
          <t>ID Envío</t>
        </is>
      </c>
      <c r="B2" s="102" t="inlineStr">
        <is>
          <t>ID Venta</t>
        </is>
      </c>
      <c r="C2" s="102" t="inlineStr">
        <is>
          <t>Fecha</t>
        </is>
      </c>
      <c r="D2" s="102" t="inlineStr">
        <is>
          <t>Cliente</t>
        </is>
      </c>
      <c r="E2" s="102" t="inlineStr">
        <is>
          <t>Ciudad</t>
        </is>
      </c>
      <c r="F2" s="102" t="inlineStr">
        <is>
          <t>Departamento</t>
        </is>
      </c>
      <c r="G2" s="102" t="inlineStr">
        <is>
          <t>Transportista</t>
        </is>
      </c>
      <c r="H2" s="102" t="inlineStr">
        <is>
          <t>Nro. Seguimiento</t>
        </is>
      </c>
      <c r="I2" s="102" t="inlineStr">
        <is>
          <t>Costo</t>
        </is>
      </c>
      <c r="J2" s="102" t="inlineStr">
        <is>
          <t>Estado</t>
        </is>
      </c>
      <c r="K2" s="102" t="inlineStr">
        <is>
          <t>Fecha Entrega</t>
        </is>
      </c>
    </row>
    <row r="3" ht="16" customHeight="1">
      <c r="A3" s="49" t="n">
        <v>1</v>
      </c>
      <c r="B3" s="49" t="n">
        <v>1</v>
      </c>
      <c r="C3" s="50" t="inlineStr">
        <is>
          <t>2025-05-02</t>
        </is>
      </c>
      <c r="D3" s="51" t="inlineStr">
        <is>
          <t>Martín García</t>
        </is>
      </c>
      <c r="E3" s="51" t="inlineStr">
        <is>
          <t>Montevideo</t>
        </is>
      </c>
      <c r="F3" s="51" t="inlineStr">
        <is>
          <t>Montevideo</t>
        </is>
      </c>
      <c r="G3" s="49" t="inlineStr">
        <is>
          <t>DAC</t>
        </is>
      </c>
      <c r="H3" s="51" t="inlineStr">
        <is>
          <t>DAC-20250502-001</t>
        </is>
      </c>
      <c r="I3" s="53" t="n">
        <v>150</v>
      </c>
      <c r="J3" s="52" t="inlineStr">
        <is>
          <t>Entregado</t>
        </is>
      </c>
      <c r="K3" s="50" t="inlineStr">
        <is>
          <t>2025-05-04</t>
        </is>
      </c>
    </row>
    <row r="4" ht="16" customHeight="1">
      <c r="A4" s="55" t="n">
        <v>2</v>
      </c>
      <c r="B4" s="55" t="n">
        <v>2</v>
      </c>
      <c r="C4" s="56" t="inlineStr">
        <is>
          <t>2025-05-04</t>
        </is>
      </c>
      <c r="D4" s="57" t="inlineStr">
        <is>
          <t>Carlos López</t>
        </is>
      </c>
      <c r="E4" s="57" t="inlineStr">
        <is>
          <t>Rivera</t>
        </is>
      </c>
      <c r="F4" s="57" t="inlineStr">
        <is>
          <t>Rivera</t>
        </is>
      </c>
      <c r="G4" s="55" t="inlineStr">
        <is>
          <t>OCA</t>
        </is>
      </c>
      <c r="H4" s="57" t="inlineStr">
        <is>
          <t>OCA-20250504-001</t>
        </is>
      </c>
      <c r="I4" s="58" t="n">
        <v>220</v>
      </c>
      <c r="J4" s="103" t="inlineStr">
        <is>
          <t>En tránsito</t>
        </is>
      </c>
      <c r="K4" s="56" t="inlineStr"/>
    </row>
    <row r="5" ht="16" customHeight="1">
      <c r="A5" s="49" t="n">
        <v>3</v>
      </c>
      <c r="B5" s="49" t="n">
        <v>3</v>
      </c>
      <c r="C5" s="50" t="inlineStr">
        <is>
          <t>2025-05-06</t>
        </is>
      </c>
      <c r="D5" s="51" t="inlineStr">
        <is>
          <t>Martín García</t>
        </is>
      </c>
      <c r="E5" s="51" t="inlineStr">
        <is>
          <t>Montevideo</t>
        </is>
      </c>
      <c r="F5" s="51" t="inlineStr">
        <is>
          <t>Montevideo</t>
        </is>
      </c>
      <c r="G5" s="49" t="inlineStr">
        <is>
          <t>DAC</t>
        </is>
      </c>
      <c r="H5" s="51" t="inlineStr">
        <is>
          <t>DAC-20250506-002</t>
        </is>
      </c>
      <c r="I5" s="53" t="n">
        <v>150</v>
      </c>
      <c r="J5" s="52" t="inlineStr">
        <is>
          <t>Entregado</t>
        </is>
      </c>
      <c r="K5" s="50" t="inlineStr">
        <is>
          <t>2025-05-08</t>
        </is>
      </c>
    </row>
    <row r="6" ht="16" customHeight="1">
      <c r="A6" s="55" t="n">
        <v>4</v>
      </c>
      <c r="B6" s="55" t="n">
        <v>5</v>
      </c>
      <c r="C6" s="56" t="inlineStr">
        <is>
          <t>2025-05-11</t>
        </is>
      </c>
      <c r="D6" s="57" t="inlineStr">
        <is>
          <t>Laura Rodríguez</t>
        </is>
      </c>
      <c r="E6" s="57" t="inlineStr">
        <is>
          <t>Salto</t>
        </is>
      </c>
      <c r="F6" s="57" t="inlineStr">
        <is>
          <t>Salto</t>
        </is>
      </c>
      <c r="G6" s="55" t="inlineStr">
        <is>
          <t>OCA</t>
        </is>
      </c>
      <c r="H6" s="57" t="inlineStr">
        <is>
          <t>OCA-20250511-001</t>
        </is>
      </c>
      <c r="I6" s="58" t="n">
        <v>280</v>
      </c>
      <c r="J6" s="103" t="inlineStr">
        <is>
          <t>En tránsito</t>
        </is>
      </c>
      <c r="K6" s="56" t="inlineStr"/>
    </row>
    <row r="7" ht="16" customHeight="1">
      <c r="A7" s="49" t="n">
        <v>5</v>
      </c>
      <c r="B7" s="49" t="n">
        <v>7</v>
      </c>
      <c r="C7" s="50" t="inlineStr">
        <is>
          <t>2025-05-16</t>
        </is>
      </c>
      <c r="D7" s="51" t="inlineStr">
        <is>
          <t>Carlos López</t>
        </is>
      </c>
      <c r="E7" s="51" t="inlineStr">
        <is>
          <t>Rivera</t>
        </is>
      </c>
      <c r="F7" s="51" t="inlineStr">
        <is>
          <t>Rivera</t>
        </is>
      </c>
      <c r="G7" s="49" t="inlineStr">
        <is>
          <t>DAC</t>
        </is>
      </c>
      <c r="H7" s="51" t="inlineStr">
        <is>
          <t>DAC-20250516-001</t>
        </is>
      </c>
      <c r="I7" s="53" t="n">
        <v>220</v>
      </c>
      <c r="J7" s="60" t="inlineStr">
        <is>
          <t>Pendiente</t>
        </is>
      </c>
      <c r="K7" s="50" t="inlineStr"/>
    </row>
    <row r="8" ht="16" customHeight="1">
      <c r="A8" s="55" t="n">
        <v>6</v>
      </c>
      <c r="B8" s="55" t="n">
        <v>10</v>
      </c>
      <c r="C8" s="56" t="inlineStr">
        <is>
          <t>2025-05-23</t>
        </is>
      </c>
      <c r="D8" s="57" t="inlineStr">
        <is>
          <t>Sofía Pérez</t>
        </is>
      </c>
      <c r="E8" s="57" t="inlineStr">
        <is>
          <t>Maldonado</t>
        </is>
      </c>
      <c r="F8" s="57" t="inlineStr">
        <is>
          <t>Maldonado</t>
        </is>
      </c>
      <c r="G8" s="55" t="inlineStr">
        <is>
          <t>OCA</t>
        </is>
      </c>
      <c r="H8" s="57" t="inlineStr">
        <is>
          <t>OCA-20250523-001</t>
        </is>
      </c>
      <c r="I8" s="58" t="n">
        <v>260</v>
      </c>
      <c r="J8" s="103" t="inlineStr">
        <is>
          <t>En tránsito</t>
        </is>
      </c>
      <c r="K8" s="56" t="inlineStr"/>
    </row>
  </sheetData>
  <mergeCells count="1">
    <mergeCell ref="A1:K1"/>
  </mergeCells>
  <dataValidations count="2">
    <dataValidation sqref="G3:G100000" showDropDown="0" showInputMessage="0" showErrorMessage="0" allowBlank="1" type="list">
      <formula1>"DAC,OCA,Correo,Retiro personal,Otro"</formula1>
    </dataValidation>
    <dataValidation sqref="J3:J100000" showDropDown="0" showInputMessage="0" showErrorMessage="0" allowBlank="1" type="list">
      <formula1>"Pendiente,En tránsito,Entregado,Devuelto,Sin envío"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4A148C"/>
    <outlinePr summaryBelow="1" summaryRight="1"/>
    <pageSetUpPr/>
  </sheetPr>
  <dimension ref="A1:K16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4" customWidth="1" min="10" max="10"/>
    <col width="13" customWidth="1" min="11" max="11"/>
  </cols>
  <sheetData>
    <row r="1" ht="28" customHeight="1">
      <c r="A1" s="104" t="inlineStr">
        <is>
          <t>📦  INVENTARIO — CONTROL DE STOCK</t>
        </is>
      </c>
    </row>
    <row r="2" ht="22" customHeight="1">
      <c r="A2" s="105" t="inlineStr">
        <is>
          <t>SKU</t>
        </is>
      </c>
      <c r="B2" s="105" t="inlineStr">
        <is>
          <t>Producto</t>
        </is>
      </c>
      <c r="C2" s="105" t="inlineStr">
        <is>
          <t>Categoría</t>
        </is>
      </c>
      <c r="D2" s="105" t="inlineStr">
        <is>
          <t>Proveedor</t>
        </is>
      </c>
      <c r="E2" s="105" t="inlineStr">
        <is>
          <t>Stock Actual</t>
        </is>
      </c>
      <c r="F2" s="105" t="inlineStr">
        <is>
          <t>Stock Mínimo</t>
        </is>
      </c>
      <c r="G2" s="105" t="inlineStr">
        <is>
          <t>Stock Ideal</t>
        </is>
      </c>
      <c r="H2" s="105" t="inlineStr">
        <is>
          <t>Costo Unit.</t>
        </is>
      </c>
      <c r="I2" s="105" t="inlineStr">
        <is>
          <t>Valor Stock</t>
        </is>
      </c>
      <c r="J2" s="105" t="inlineStr">
        <is>
          <t>Alerta</t>
        </is>
      </c>
      <c r="K2" s="105" t="inlineStr">
        <is>
          <t>Fecha Act.</t>
        </is>
      </c>
    </row>
    <row r="3" ht="16" customHeight="1">
      <c r="A3" s="49" t="inlineStr">
        <is>
          <t>IMP3D-001</t>
        </is>
      </c>
      <c r="B3" s="51" t="inlineStr">
        <is>
          <t>Alerón F1 Escala 1:18</t>
        </is>
      </c>
      <c r="C3" s="51" t="inlineStr">
        <is>
          <t>IMPRESIÓN 3D</t>
        </is>
      </c>
      <c r="D3" s="51" t="inlineStr">
        <is>
          <t>Filamento PLA</t>
        </is>
      </c>
      <c r="E3" s="53" t="n">
        <v>12</v>
      </c>
      <c r="F3" s="53" t="n">
        <v>5</v>
      </c>
      <c r="G3" s="53" t="n">
        <v>20</v>
      </c>
      <c r="H3" s="53" t="n">
        <v>230</v>
      </c>
      <c r="I3" s="53">
        <f>E3*H3</f>
        <v/>
      </c>
      <c r="J3" s="106">
        <f>IF(E3&lt;=0,"CRÍTICO",IF(E3&lt;F3,"CRÍTICO",IF(E3=F3,"STOCK BAJO","")))</f>
        <v/>
      </c>
      <c r="K3" s="50" t="inlineStr">
        <is>
          <t>2025-05-28</t>
        </is>
      </c>
    </row>
    <row r="4" ht="16" customHeight="1">
      <c r="A4" s="55" t="inlineStr">
        <is>
          <t>IMP3D-002</t>
        </is>
      </c>
      <c r="B4" s="57" t="inlineStr">
        <is>
          <t>Circuito Monaco Mini</t>
        </is>
      </c>
      <c r="C4" s="57" t="inlineStr">
        <is>
          <t>IMPRESIÓN 3D</t>
        </is>
      </c>
      <c r="D4" s="57" t="inlineStr">
        <is>
          <t>Filamento PLA</t>
        </is>
      </c>
      <c r="E4" s="58" t="n">
        <v>8</v>
      </c>
      <c r="F4" s="58" t="n">
        <v>5</v>
      </c>
      <c r="G4" s="58" t="n">
        <v>15</v>
      </c>
      <c r="H4" s="58" t="n">
        <v>195</v>
      </c>
      <c r="I4" s="58">
        <f>E4*H4</f>
        <v/>
      </c>
      <c r="J4" s="106">
        <f>IF(E4&lt;=0,"CRÍTICO",IF(E4&lt;F4,"CRÍTICO",IF(E4=F4,"STOCK BAJO","")))</f>
        <v/>
      </c>
      <c r="K4" s="56" t="inlineStr">
        <is>
          <t>2025-05-28</t>
        </is>
      </c>
    </row>
    <row r="5" ht="16" customHeight="1">
      <c r="A5" s="49" t="inlineStr">
        <is>
          <t>IMP3D-003</t>
        </is>
      </c>
      <c r="B5" s="51" t="inlineStr">
        <is>
          <t>Mini Garaje F1</t>
        </is>
      </c>
      <c r="C5" s="51" t="inlineStr">
        <is>
          <t>IMPRESIÓN 3D</t>
        </is>
      </c>
      <c r="D5" s="51" t="inlineStr">
        <is>
          <t>Filamento PLA</t>
        </is>
      </c>
      <c r="E5" s="53" t="n">
        <v>3</v>
      </c>
      <c r="F5" s="53" t="n">
        <v>5</v>
      </c>
      <c r="G5" s="53" t="n">
        <v>10</v>
      </c>
      <c r="H5" s="53" t="n">
        <v>285</v>
      </c>
      <c r="I5" s="53">
        <f>E5*H5</f>
        <v/>
      </c>
      <c r="J5" s="60">
        <f>IF(E5&lt;=0,"CRÍTICO",IF(E5&lt;F5,"CRÍTICO",IF(E5=F5,"STOCK BAJO","")))</f>
        <v/>
      </c>
      <c r="K5" s="50" t="inlineStr">
        <is>
          <t>2025-05-28</t>
        </is>
      </c>
    </row>
    <row r="6" ht="16" customHeight="1">
      <c r="A6" s="55" t="inlineStr">
        <is>
          <t>IMP3D-004</t>
        </is>
      </c>
      <c r="B6" s="57" t="inlineStr">
        <is>
          <t>Llavero F1</t>
        </is>
      </c>
      <c r="C6" s="57" t="inlineStr">
        <is>
          <t>IMPRESIÓN 3D</t>
        </is>
      </c>
      <c r="D6" s="57" t="inlineStr">
        <is>
          <t>Filamento PLA</t>
        </is>
      </c>
      <c r="E6" s="58" t="n">
        <v>25</v>
      </c>
      <c r="F6" s="58" t="n">
        <v>10</v>
      </c>
      <c r="G6" s="58" t="n">
        <v>40</v>
      </c>
      <c r="H6" s="58" t="n">
        <v>31</v>
      </c>
      <c r="I6" s="58">
        <f>E6*H6</f>
        <v/>
      </c>
      <c r="J6" s="106">
        <f>IF(E6&lt;=0,"CRÍTICO",IF(E6&lt;F6,"CRÍTICO",IF(E6=F6,"STOCK BAJO","")))</f>
        <v/>
      </c>
      <c r="K6" s="56" t="inlineStr">
        <is>
          <t>2025-05-28</t>
        </is>
      </c>
    </row>
    <row r="7" ht="16" customHeight="1">
      <c r="A7" s="49" t="inlineStr">
        <is>
          <t>IMP3D-005</t>
        </is>
      </c>
      <c r="B7" s="51" t="inlineStr">
        <is>
          <t>Imán F1</t>
        </is>
      </c>
      <c r="C7" s="51" t="inlineStr">
        <is>
          <t>IMPRESIÓN 3D</t>
        </is>
      </c>
      <c r="D7" s="51" t="inlineStr">
        <is>
          <t>Filamento PLA</t>
        </is>
      </c>
      <c r="E7" s="53" t="n">
        <v>30</v>
      </c>
      <c r="F7" s="53" t="n">
        <v>10</v>
      </c>
      <c r="G7" s="53" t="n">
        <v>50</v>
      </c>
      <c r="H7" s="53" t="n">
        <v>23</v>
      </c>
      <c r="I7" s="53">
        <f>E7*H7</f>
        <v/>
      </c>
      <c r="J7" s="106">
        <f>IF(E7&lt;=0,"CRÍTICO",IF(E7&lt;F7,"CRÍTICO",IF(E7=F7,"STOCK BAJO","")))</f>
        <v/>
      </c>
      <c r="K7" s="50" t="inlineStr">
        <is>
          <t>2025-05-28</t>
        </is>
      </c>
    </row>
    <row r="8" ht="16" customHeight="1">
      <c r="A8" s="55" t="inlineStr">
        <is>
          <t>IMP3D-006</t>
        </is>
      </c>
      <c r="B8" s="57" t="inlineStr">
        <is>
          <t>Portallaves F1</t>
        </is>
      </c>
      <c r="C8" s="57" t="inlineStr">
        <is>
          <t>IMPRESIÓN 3D</t>
        </is>
      </c>
      <c r="D8" s="57" t="inlineStr">
        <is>
          <t>Filamento PLA</t>
        </is>
      </c>
      <c r="E8" s="58" t="n">
        <v>15</v>
      </c>
      <c r="F8" s="58" t="n">
        <v>8</v>
      </c>
      <c r="G8" s="58" t="n">
        <v>25</v>
      </c>
      <c r="H8" s="58" t="n">
        <v>65</v>
      </c>
      <c r="I8" s="58">
        <f>E8*H8</f>
        <v/>
      </c>
      <c r="J8" s="106">
        <f>IF(E8&lt;=0,"CRÍTICO",IF(E8&lt;F8,"CRÍTICO",IF(E8=F8,"STOCK BAJO","")))</f>
        <v/>
      </c>
      <c r="K8" s="56" t="inlineStr">
        <is>
          <t>2025-05-28</t>
        </is>
      </c>
    </row>
    <row r="9" ht="16" customHeight="1">
      <c r="A9" s="49" t="inlineStr">
        <is>
          <t>IMP3D-007</t>
        </is>
      </c>
      <c r="B9" s="51" t="inlineStr">
        <is>
          <t>Calendario F1 2025</t>
        </is>
      </c>
      <c r="C9" s="51" t="inlineStr">
        <is>
          <t>IMPRESIÓN 3D</t>
        </is>
      </c>
      <c r="D9" s="51" t="inlineStr">
        <is>
          <t>Filamento PLA</t>
        </is>
      </c>
      <c r="E9" s="53" t="n">
        <v>4</v>
      </c>
      <c r="F9" s="53" t="n">
        <v>5</v>
      </c>
      <c r="G9" s="53" t="n">
        <v>15</v>
      </c>
      <c r="H9" s="53" t="n">
        <v>140</v>
      </c>
      <c r="I9" s="53">
        <f>E9*H9</f>
        <v/>
      </c>
      <c r="J9" s="60">
        <f>IF(E9&lt;=0,"CRÍTICO",IF(E9&lt;F9,"CRÍTICO",IF(E9=F9,"STOCK BAJO","")))</f>
        <v/>
      </c>
      <c r="K9" s="50" t="inlineStr">
        <is>
          <t>2025-05-28</t>
        </is>
      </c>
    </row>
    <row r="10" ht="16" customHeight="1">
      <c r="A10" s="55" t="inlineStr">
        <is>
          <t>INDUM-001</t>
        </is>
      </c>
      <c r="B10" s="57" t="inlineStr">
        <is>
          <t>Hoodie F1</t>
        </is>
      </c>
      <c r="C10" s="57" t="inlineStr">
        <is>
          <t>INDUMENTARIA</t>
        </is>
      </c>
      <c r="D10" s="57" t="inlineStr">
        <is>
          <t>Proveedor Textil</t>
        </is>
      </c>
      <c r="E10" s="58" t="n">
        <v>6</v>
      </c>
      <c r="F10" s="58" t="n">
        <v>5</v>
      </c>
      <c r="G10" s="58" t="n">
        <v>15</v>
      </c>
      <c r="H10" s="58" t="n">
        <v>1310</v>
      </c>
      <c r="I10" s="58">
        <f>E10*H10</f>
        <v/>
      </c>
      <c r="J10" s="106">
        <f>IF(E10&lt;=0,"CRÍTICO",IF(E10&lt;F10,"CRÍTICO",IF(E10=F10,"STOCK BAJO","")))</f>
        <v/>
      </c>
      <c r="K10" s="56" t="inlineStr">
        <is>
          <t>2025-05-28</t>
        </is>
      </c>
    </row>
    <row r="11" ht="16" customHeight="1">
      <c r="A11" s="49" t="inlineStr">
        <is>
          <t>INDUM-002</t>
        </is>
      </c>
      <c r="B11" s="51" t="inlineStr">
        <is>
          <t>Remera F1</t>
        </is>
      </c>
      <c r="C11" s="51" t="inlineStr">
        <is>
          <t>INDUMENTARIA</t>
        </is>
      </c>
      <c r="D11" s="51" t="inlineStr">
        <is>
          <t>Proveedor Textil</t>
        </is>
      </c>
      <c r="E11" s="53" t="n">
        <v>10</v>
      </c>
      <c r="F11" s="53" t="n">
        <v>5</v>
      </c>
      <c r="G11" s="53" t="n">
        <v>20</v>
      </c>
      <c r="H11" s="53" t="n">
        <v>635</v>
      </c>
      <c r="I11" s="53">
        <f>E11*H11</f>
        <v/>
      </c>
      <c r="J11" s="106">
        <f>IF(E11&lt;=0,"CRÍTICO",IF(E11&lt;F11,"CRÍTICO",IF(E11=F11,"STOCK BAJO","")))</f>
        <v/>
      </c>
      <c r="K11" s="50" t="inlineStr">
        <is>
          <t>2025-05-28</t>
        </is>
      </c>
    </row>
    <row r="12" ht="16" customHeight="1">
      <c r="A12" s="55" t="inlineStr">
        <is>
          <t>INDUM-003</t>
        </is>
      </c>
      <c r="B12" s="57" t="inlineStr">
        <is>
          <t>Gorra F1</t>
        </is>
      </c>
      <c r="C12" s="57" t="inlineStr">
        <is>
          <t>INDUMENTARIA</t>
        </is>
      </c>
      <c r="D12" s="57" t="inlineStr">
        <is>
          <t>Proveedor Textil</t>
        </is>
      </c>
      <c r="E12" s="58" t="n">
        <v>8</v>
      </c>
      <c r="F12" s="58" t="n">
        <v>5</v>
      </c>
      <c r="G12" s="58" t="n">
        <v>15</v>
      </c>
      <c r="H12" s="58" t="n">
        <v>640</v>
      </c>
      <c r="I12" s="58">
        <f>E12*H12</f>
        <v/>
      </c>
      <c r="J12" s="106">
        <f>IF(E12&lt;=0,"CRÍTICO",IF(E12&lt;F12,"CRÍTICO",IF(E12=F12,"STOCK BAJO","")))</f>
        <v/>
      </c>
      <c r="K12" s="56" t="inlineStr">
        <is>
          <t>2025-05-28</t>
        </is>
      </c>
    </row>
    <row r="13" ht="16" customHeight="1">
      <c r="A13" s="49" t="inlineStr">
        <is>
          <t>TERM-001</t>
        </is>
      </c>
      <c r="B13" s="51" t="inlineStr">
        <is>
          <t>Mate F1 Personalizado</t>
        </is>
      </c>
      <c r="C13" s="51" t="inlineStr">
        <is>
          <t>TERMOS Y BEBIDAS</t>
        </is>
      </c>
      <c r="D13" s="51" t="inlineStr">
        <is>
          <t>Proveedor Mates</t>
        </is>
      </c>
      <c r="E13" s="53" t="n">
        <v>5</v>
      </c>
      <c r="F13" s="53" t="n">
        <v>5</v>
      </c>
      <c r="G13" s="53" t="n">
        <v>12</v>
      </c>
      <c r="H13" s="53" t="n">
        <v>760</v>
      </c>
      <c r="I13" s="53">
        <f>E13*H13</f>
        <v/>
      </c>
      <c r="J13" s="106">
        <f>IF(E13&lt;=0,"CRÍTICO",IF(E13&lt;F13,"CRÍTICO",IF(E13=F13,"STOCK BAJO","")))</f>
        <v/>
      </c>
      <c r="K13" s="50" t="inlineStr">
        <is>
          <t>2025-05-28</t>
        </is>
      </c>
    </row>
    <row r="14" ht="16" customHeight="1">
      <c r="A14" s="55" t="inlineStr">
        <is>
          <t>TERM-002</t>
        </is>
      </c>
      <c r="B14" s="57" t="inlineStr">
        <is>
          <t>Vaso Térmico F1</t>
        </is>
      </c>
      <c r="C14" s="57" t="inlineStr">
        <is>
          <t>TERMOS Y BEBIDAS</t>
        </is>
      </c>
      <c r="D14" s="57" t="inlineStr">
        <is>
          <t>Proveedor Mates</t>
        </is>
      </c>
      <c r="E14" s="58" t="n">
        <v>2</v>
      </c>
      <c r="F14" s="58" t="n">
        <v>5</v>
      </c>
      <c r="G14" s="58" t="n">
        <v>10</v>
      </c>
      <c r="H14" s="58" t="n">
        <v>815</v>
      </c>
      <c r="I14" s="58">
        <f>E14*H14</f>
        <v/>
      </c>
      <c r="J14" s="107">
        <f>IF(E14&lt;=0,"CRÍTICO",IF(E14&lt;F14,"CRÍTICO",IF(E14=F14,"STOCK BAJO","")))</f>
        <v/>
      </c>
      <c r="K14" s="56" t="inlineStr">
        <is>
          <t>2025-05-28</t>
        </is>
      </c>
    </row>
    <row r="15" ht="16" customHeight="1">
      <c r="A15" s="49" t="inlineStr">
        <is>
          <t>ILUM-001</t>
        </is>
      </c>
      <c r="B15" s="51" t="inlineStr">
        <is>
          <t>Lámpara LED F1</t>
        </is>
      </c>
      <c r="C15" s="51" t="inlineStr">
        <is>
          <t>ILUMINACIÓN</t>
        </is>
      </c>
      <c r="D15" s="51" t="inlineStr">
        <is>
          <t>Proveedor LED</t>
        </is>
      </c>
      <c r="E15" s="53" t="n">
        <v>4</v>
      </c>
      <c r="F15" s="53" t="n">
        <v>3</v>
      </c>
      <c r="G15" s="53" t="n">
        <v>8</v>
      </c>
      <c r="H15" s="53" t="n">
        <v>845</v>
      </c>
      <c r="I15" s="53">
        <f>E15*H15</f>
        <v/>
      </c>
      <c r="J15" s="106">
        <f>IF(E15&lt;=0,"CRÍTICO",IF(E15&lt;F15,"CRÍTICO",IF(E15=F15,"STOCK BAJO","")))</f>
        <v/>
      </c>
      <c r="K15" s="50" t="inlineStr">
        <is>
          <t>2025-05-28</t>
        </is>
      </c>
    </row>
    <row r="16" ht="16" customHeight="1">
      <c r="A16" s="55" t="inlineStr">
        <is>
          <t>ILUM-002</t>
        </is>
      </c>
      <c r="B16" s="57" t="inlineStr">
        <is>
          <t>Neón LED F1</t>
        </is>
      </c>
      <c r="C16" s="57" t="inlineStr">
        <is>
          <t>ILUMINACIÓN</t>
        </is>
      </c>
      <c r="D16" s="57" t="inlineStr">
        <is>
          <t>Proveedor LED</t>
        </is>
      </c>
      <c r="E16" s="58" t="n">
        <v>1</v>
      </c>
      <c r="F16" s="58" t="n">
        <v>2</v>
      </c>
      <c r="G16" s="58" t="n">
        <v>5</v>
      </c>
      <c r="H16" s="58" t="n">
        <v>1410</v>
      </c>
      <c r="I16" s="58">
        <f>E16*H16</f>
        <v/>
      </c>
      <c r="J16" s="107">
        <f>IF(E16&lt;=0,"CRÍTICO",IF(E16&lt;F16,"CRÍTICO",IF(E16=F16,"STOCK BAJO","")))</f>
        <v/>
      </c>
      <c r="K16" s="56" t="inlineStr">
        <is>
          <t>2025-05-28</t>
        </is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E65100"/>
    <outlinePr summaryBelow="1" summaryRight="1"/>
    <pageSetUpPr/>
  </sheetPr>
  <dimension ref="A1:M10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2" customWidth="1" min="4" max="4"/>
    <col width="16" customWidth="1" min="5" max="5"/>
    <col width="35" customWidth="1" min="6" max="6"/>
    <col width="16" customWidth="1" min="7" max="7"/>
    <col width="35" customWidth="1" min="8" max="8"/>
    <col width="14" customWidth="1" min="9" max="9"/>
    <col width="16" customWidth="1" min="10" max="10"/>
    <col width="9" customWidth="1" min="11" max="11"/>
    <col width="12" customWidth="1" min="12" max="12"/>
    <col width="20" customWidth="1" min="13" max="13"/>
  </cols>
  <sheetData>
    <row r="1" ht="28" customHeight="1">
      <c r="A1" s="108" t="inlineStr">
        <is>
          <t>🤖  PITBOT — CONVERSACIONES &amp; MÉTRICAS IA</t>
        </is>
      </c>
    </row>
    <row r="2" ht="22" customHeight="1">
      <c r="A2" s="109" t="inlineStr">
        <is>
          <t>ID Conv.</t>
        </is>
      </c>
      <c r="B2" s="109" t="inlineStr">
        <is>
          <t>Fecha</t>
        </is>
      </c>
      <c r="C2" s="109" t="inlineStr">
        <is>
          <t>Hora</t>
        </is>
      </c>
      <c r="D2" s="109" t="inlineStr">
        <is>
          <t>Canal</t>
        </is>
      </c>
      <c r="E2" s="109" t="inlineStr">
        <is>
          <t>Teléfono/User</t>
        </is>
      </c>
      <c r="F2" s="109" t="inlineStr">
        <is>
          <t>Pregunta (resumen)</t>
        </is>
      </c>
      <c r="G2" s="109" t="inlineStr">
        <is>
          <t>Categoría</t>
        </is>
      </c>
      <c r="H2" s="109" t="inlineStr">
        <is>
          <t>Respuesta Enviada</t>
        </is>
      </c>
      <c r="I2" s="109" t="inlineStr">
        <is>
          <t>Tiempo Resp.(min)</t>
        </is>
      </c>
      <c r="J2" s="109" t="inlineStr">
        <is>
          <t>Resultado</t>
        </is>
      </c>
      <c r="K2" s="109" t="inlineStr">
        <is>
          <t>Venta ID</t>
        </is>
      </c>
      <c r="L2" s="109" t="inlineStr">
        <is>
          <t>Satisfacción</t>
        </is>
      </c>
      <c r="M2" s="109" t="inlineStr">
        <is>
          <t>Notas</t>
        </is>
      </c>
    </row>
    <row r="3" ht="28" customHeight="1">
      <c r="A3" s="49" t="n">
        <v>1</v>
      </c>
      <c r="B3" s="50" t="inlineStr">
        <is>
          <t>2025-05-10</t>
        </is>
      </c>
      <c r="C3" s="49" t="inlineStr">
        <is>
          <t>09:15</t>
        </is>
      </c>
      <c r="D3" s="49" t="inlineStr">
        <is>
          <t>WhatsApp</t>
        </is>
      </c>
      <c r="E3" s="49" t="inlineStr">
        <is>
          <t>099111111</t>
        </is>
      </c>
      <c r="F3" s="110" t="inlineStr">
        <is>
          <t>¿Tienen alerón del Ferrari SF-24?</t>
        </is>
      </c>
      <c r="G3" s="69" t="inlineStr">
        <is>
          <t>Producto</t>
        </is>
      </c>
      <c r="H3" s="110" t="inlineStr">
        <is>
          <t>Sí! Tenemos varios modelos. ¿Escala 1:18 o 1:43?</t>
        </is>
      </c>
      <c r="I3" s="49" t="n">
        <v>2</v>
      </c>
      <c r="J3" s="52" t="inlineStr">
        <is>
          <t>Venta</t>
        </is>
      </c>
      <c r="K3" s="49" t="n">
        <v>1</v>
      </c>
      <c r="L3" s="49" t="inlineStr">
        <is>
          <t>5</t>
        </is>
      </c>
      <c r="M3" s="110" t="inlineStr">
        <is>
          <t>Cliente VIP</t>
        </is>
      </c>
    </row>
    <row r="4" ht="28" customHeight="1">
      <c r="A4" s="55" t="n">
        <v>2</v>
      </c>
      <c r="B4" s="56" t="inlineStr">
        <is>
          <t>2025-05-10</t>
        </is>
      </c>
      <c r="C4" s="55" t="inlineStr">
        <is>
          <t>10:30</t>
        </is>
      </c>
      <c r="D4" s="55" t="inlineStr">
        <is>
          <t>Instagram</t>
        </is>
      </c>
      <c r="E4" s="55" t="inlineStr">
        <is>
          <t>@usuario2</t>
        </is>
      </c>
      <c r="F4" s="111" t="inlineStr">
        <is>
          <t>¿Cuánto tarda la entrega?</t>
        </is>
      </c>
      <c r="G4" s="73" t="inlineStr">
        <is>
          <t>Soporte</t>
        </is>
      </c>
      <c r="H4" s="111" t="inlineStr">
        <is>
          <t>Entregamos en 3-5 días hábiles por DAC o OCA.</t>
        </is>
      </c>
      <c r="I4" s="55" t="n">
        <v>1</v>
      </c>
      <c r="J4" s="103" t="inlineStr">
        <is>
          <t>Resuelto</t>
        </is>
      </c>
      <c r="K4" s="55" t="inlineStr"/>
      <c r="L4" s="55" t="inlineStr">
        <is>
          <t>4</t>
        </is>
      </c>
      <c r="M4" s="111" t="inlineStr"/>
    </row>
    <row r="5" ht="28" customHeight="1">
      <c r="A5" s="49" t="n">
        <v>3</v>
      </c>
      <c r="B5" s="50" t="inlineStr">
        <is>
          <t>2025-05-11</t>
        </is>
      </c>
      <c r="C5" s="49" t="inlineStr">
        <is>
          <t>11:00</t>
        </is>
      </c>
      <c r="D5" s="49" t="inlineStr">
        <is>
          <t>WhatsApp</t>
        </is>
      </c>
      <c r="E5" s="49" t="inlineStr">
        <is>
          <t>098222222</t>
        </is>
      </c>
      <c r="F5" s="110" t="inlineStr">
        <is>
          <t>¿Hacen diseños personalizados de equipo?</t>
        </is>
      </c>
      <c r="G5" s="65" t="inlineStr">
        <is>
          <t>Personalizado</t>
        </is>
      </c>
      <c r="H5" s="110" t="inlineStr">
        <is>
          <t>¡Por supuesto! Mandame el logo y te hacemos presupuesto.</t>
        </is>
      </c>
      <c r="I5" s="49" t="n">
        <v>3</v>
      </c>
      <c r="J5" s="60" t="inlineStr">
        <is>
          <t>Derivado humano</t>
        </is>
      </c>
      <c r="K5" s="49" t="inlineStr"/>
      <c r="L5" s="49" t="inlineStr">
        <is>
          <t>5</t>
        </is>
      </c>
      <c r="M5" s="110" t="inlineStr">
        <is>
          <t>Empresa grande</t>
        </is>
      </c>
    </row>
    <row r="6" ht="28" customHeight="1">
      <c r="A6" s="55" t="n">
        <v>4</v>
      </c>
      <c r="B6" s="56" t="inlineStr">
        <is>
          <t>2025-05-12</t>
        </is>
      </c>
      <c r="C6" s="55" t="inlineStr">
        <is>
          <t>14:20</t>
        </is>
      </c>
      <c r="D6" s="55" t="inlineStr">
        <is>
          <t>Facebook</t>
        </is>
      </c>
      <c r="E6" s="55" t="inlineStr">
        <is>
          <t>@usuario4</t>
        </is>
      </c>
      <c r="F6" s="111" t="inlineStr">
        <is>
          <t>¿Tienen stock del circuito Interlagos?</t>
        </is>
      </c>
      <c r="G6" s="69" t="inlineStr">
        <is>
          <t>Producto</t>
        </is>
      </c>
      <c r="H6" s="111" t="inlineStr">
        <is>
          <t>Actualmente no tenemos stock. ¿Te aviso cuando llegue?</t>
        </is>
      </c>
      <c r="I6" s="55" t="n">
        <v>2</v>
      </c>
      <c r="J6" s="103" t="inlineStr">
        <is>
          <t>Resuelto</t>
        </is>
      </c>
      <c r="K6" s="55" t="inlineStr"/>
      <c r="L6" s="55" t="inlineStr">
        <is>
          <t>4</t>
        </is>
      </c>
      <c r="M6" s="111" t="inlineStr"/>
    </row>
    <row r="7" ht="28" customHeight="1">
      <c r="A7" s="49" t="n">
        <v>5</v>
      </c>
      <c r="B7" s="50" t="inlineStr">
        <is>
          <t>2025-05-13</t>
        </is>
      </c>
      <c r="C7" s="49" t="inlineStr">
        <is>
          <t>16:45</t>
        </is>
      </c>
      <c r="D7" s="49" t="inlineStr">
        <is>
          <t>WhatsApp</t>
        </is>
      </c>
      <c r="E7" s="49" t="inlineStr">
        <is>
          <t>097333333</t>
        </is>
      </c>
      <c r="F7" s="110" t="inlineStr">
        <is>
          <t>¿Cómo pago? ¿Aceptan tarjeta?</t>
        </is>
      </c>
      <c r="G7" s="77" t="inlineStr">
        <is>
          <t>Precio</t>
        </is>
      </c>
      <c r="H7" s="110" t="inlineStr">
        <is>
          <t>Aceptamos MP, transferencia, efectivo y tarjeta.</t>
        </is>
      </c>
      <c r="I7" s="49" t="n">
        <v>1</v>
      </c>
      <c r="J7" s="103" t="inlineStr">
        <is>
          <t>Resuelto</t>
        </is>
      </c>
      <c r="K7" s="49" t="inlineStr"/>
      <c r="L7" s="49" t="inlineStr">
        <is>
          <t>5</t>
        </is>
      </c>
      <c r="M7" s="110" t="inlineStr"/>
    </row>
    <row r="8" ht="28" customHeight="1">
      <c r="A8" s="55" t="n">
        <v>6</v>
      </c>
      <c r="B8" s="56" t="inlineStr">
        <is>
          <t>2025-05-14</t>
        </is>
      </c>
      <c r="C8" s="55" t="inlineStr">
        <is>
          <t>09:00</t>
        </is>
      </c>
      <c r="D8" s="55" t="inlineStr">
        <is>
          <t>Instagram</t>
        </is>
      </c>
      <c r="E8" s="55" t="inlineStr">
        <is>
          <t>@usuario6</t>
        </is>
      </c>
      <c r="F8" s="111" t="inlineStr">
        <is>
          <t>¿Cuánto sale el neón de Red Bull?</t>
        </is>
      </c>
      <c r="G8" s="77" t="inlineStr">
        <is>
          <t>Precio</t>
        </is>
      </c>
      <c r="H8" s="111" t="inlineStr">
        <is>
          <t>El neón Red Bull sale $3200. ¿Te mando foto?</t>
        </is>
      </c>
      <c r="I8" s="55" t="n">
        <v>2</v>
      </c>
      <c r="J8" s="52" t="inlineStr">
        <is>
          <t>Venta</t>
        </is>
      </c>
      <c r="K8" s="55" t="n">
        <v>10</v>
      </c>
      <c r="L8" s="55" t="inlineStr">
        <is>
          <t>5</t>
        </is>
      </c>
      <c r="M8" s="111" t="inlineStr"/>
    </row>
    <row r="9" ht="28" customHeight="1">
      <c r="A9" s="49" t="n">
        <v>7</v>
      </c>
      <c r="B9" s="50" t="inlineStr">
        <is>
          <t>2025-05-15</t>
        </is>
      </c>
      <c r="C9" s="49" t="inlineStr">
        <is>
          <t>11:30</t>
        </is>
      </c>
      <c r="D9" s="49" t="inlineStr">
        <is>
          <t>WhatsApp</t>
        </is>
      </c>
      <c r="E9" s="49" t="inlineStr">
        <is>
          <t>096444444</t>
        </is>
      </c>
      <c r="F9" s="110" t="inlineStr">
        <is>
          <t>¿Envían a Rivera?</t>
        </is>
      </c>
      <c r="G9" s="73" t="inlineStr">
        <is>
          <t>Soporte</t>
        </is>
      </c>
      <c r="H9" s="110" t="inlineStr">
        <is>
          <t>Sí! Enviamos a todo Uruguay por OCA o DAC.</t>
        </is>
      </c>
      <c r="I9" s="49" t="n">
        <v>1</v>
      </c>
      <c r="J9" s="103" t="inlineStr">
        <is>
          <t>Resuelto</t>
        </is>
      </c>
      <c r="K9" s="49" t="inlineStr"/>
      <c r="L9" s="49" t="inlineStr">
        <is>
          <t>5</t>
        </is>
      </c>
      <c r="M9" s="110" t="inlineStr"/>
    </row>
    <row r="10" ht="28" customHeight="1">
      <c r="A10" s="55" t="n">
        <v>8</v>
      </c>
      <c r="B10" s="56" t="inlineStr">
        <is>
          <t>2025-05-16</t>
        </is>
      </c>
      <c r="C10" s="55" t="inlineStr">
        <is>
          <t>15:00</t>
        </is>
      </c>
      <c r="D10" s="55" t="inlineStr">
        <is>
          <t>WhatsApp</t>
        </is>
      </c>
      <c r="E10" s="55" t="inlineStr">
        <is>
          <t>095555555</t>
        </is>
      </c>
      <c r="F10" s="111" t="inlineStr">
        <is>
          <t>Mi pedido no llegó</t>
        </is>
      </c>
      <c r="G10" s="73" t="inlineStr">
        <is>
          <t>Soporte</t>
        </is>
      </c>
      <c r="H10" s="111" t="inlineStr">
        <is>
          <t>Disculpá! Te paso el número de seguimiento ahora.</t>
        </is>
      </c>
      <c r="I10" s="55" t="n">
        <v>5</v>
      </c>
      <c r="J10" s="60" t="inlineStr">
        <is>
          <t>Derivado humano</t>
        </is>
      </c>
      <c r="K10" s="55" t="inlineStr"/>
      <c r="L10" s="55" t="inlineStr">
        <is>
          <t>3</t>
        </is>
      </c>
      <c r="M10" s="111" t="inlineStr">
        <is>
          <t>Pedido demorado</t>
        </is>
      </c>
    </row>
  </sheetData>
  <mergeCells count="1">
    <mergeCell ref="A1:M1"/>
  </mergeCells>
  <dataValidations count="4">
    <dataValidation sqref="D3:D100000" showDropDown="0" showInputMessage="0" showErrorMessage="0" allowBlank="1" type="list">
      <formula1>"WhatsApp,Instagram,Facebook,WooCommerce,Email,Otro"</formula1>
    </dataValidation>
    <dataValidation sqref="G3:G100000" showDropDown="0" showInputMessage="0" showErrorMessage="0" allowBlank="1" type="list">
      <formula1>"Producto,Precio,Estado pedido,Personalizado,Soporte,Otro"</formula1>
    </dataValidation>
    <dataValidation sqref="J3:J100000" showDropDown="0" showInputMessage="0" showErrorMessage="0" allowBlank="1" type="list">
      <formula1>"Resuelto,Venta,Derivado humano,Sin respuesta"</formula1>
    </dataValidation>
    <dataValidation sqref="L3:L100000" showDropDown="0" showInputMessage="0" showErrorMessage="0" allowBlank="1" type="list">
      <formula1>"1,2,3,4,5"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37474F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8" customWidth="1" min="4" max="4"/>
    <col width="30" customWidth="1" min="5" max="5"/>
  </cols>
  <sheetData>
    <row r="1" ht="28" customHeight="1">
      <c r="A1" s="112" t="inlineStr">
        <is>
          <t>🔽  EMBUDO COMERCIAL — CONVERSIONES AUTOMÁTICAS</t>
        </is>
      </c>
    </row>
    <row r="2">
      <c r="A2" s="113" t="inlineStr">
        <is>
          <t>MÉTRICAS DEL EMBUDO — datos calculados desde hojas 04, 05, 06</t>
        </is>
      </c>
    </row>
    <row r="3">
      <c r="A3" s="114" t="inlineStr">
        <is>
          <t>Etapa</t>
        </is>
      </c>
      <c r="B3" s="114" t="inlineStr">
        <is>
          <t>Cantidad</t>
        </is>
      </c>
      <c r="C3" s="114" t="inlineStr">
        <is>
          <t>% del Total</t>
        </is>
      </c>
      <c r="D3" s="114" t="inlineStr">
        <is>
          <t>Conv. → Siguiente</t>
        </is>
      </c>
      <c r="E3" s="114" t="inlineStr">
        <is>
          <t>Observación</t>
        </is>
      </c>
    </row>
    <row r="4" ht="28" customHeight="1">
      <c r="A4" s="115" t="inlineStr">
        <is>
          <t>🔵 CONSULTAS (Leads totales)</t>
        </is>
      </c>
      <c r="B4" s="116">
        <f>COUNTA(TBL_Leads[ID Lead])</f>
        <v/>
      </c>
      <c r="C4" s="117">
        <f>B4/B4</f>
        <v/>
      </c>
      <c r="D4" s="117">
        <f>B5/B4</f>
        <v/>
      </c>
      <c r="E4" s="118" t="inlineStr">
        <is>
          <t>Todos los leads registrados</t>
        </is>
      </c>
    </row>
    <row r="5" ht="28" customHeight="1">
      <c r="A5" s="119" t="inlineStr">
        <is>
          <t>🟡 CONTACTADOS</t>
        </is>
      </c>
      <c r="B5" s="120">
        <f>COUNTIF(TBL_Leads[Estado],"Contactado")+COUNTIF(TBL_Leads[Estado],"Presupuestado")+COUNTIF(TBL_Leads[Estado],"En negociación")+COUNTIF(TBL_Leads[Estado],"Ganado")</f>
        <v/>
      </c>
      <c r="C5" s="121">
        <f>B5/B4</f>
        <v/>
      </c>
      <c r="D5" s="121">
        <f>B6/B5</f>
        <v/>
      </c>
      <c r="E5" s="122" t="inlineStr">
        <is>
          <t>Respondidos</t>
        </is>
      </c>
    </row>
    <row r="6" ht="28" customHeight="1">
      <c r="A6" s="123" t="inlineStr">
        <is>
          <t>🟠 PRESUPUESTADOS</t>
        </is>
      </c>
      <c r="B6" s="124">
        <f>COUNTA(TBL_Cotizaciones[ID Cotización])</f>
        <v/>
      </c>
      <c r="C6" s="125">
        <f>B6/B4</f>
        <v/>
      </c>
      <c r="D6" s="125">
        <f>B7/B6</f>
        <v/>
      </c>
      <c r="E6" s="126" t="inlineStr">
        <is>
          <t>Cotizaciones enviadas</t>
        </is>
      </c>
    </row>
    <row r="7" ht="28" customHeight="1">
      <c r="A7" s="127" t="inlineStr">
        <is>
          <t>🟢 VENTAS CERRADAS</t>
        </is>
      </c>
      <c r="B7" s="128">
        <f>COUNTA(TBL_Ventas[ID Venta])</f>
        <v/>
      </c>
      <c r="C7" s="129">
        <f>B7/B4</f>
        <v/>
      </c>
      <c r="D7" s="129">
        <f>B8/B7</f>
        <v/>
      </c>
      <c r="E7" s="130" t="inlineStr">
        <is>
          <t>Ventas confirmadas</t>
        </is>
      </c>
    </row>
    <row r="8" ht="28" customHeight="1">
      <c r="A8" s="131" t="inlineStr">
        <is>
          <t>⭐ CLIENTES RECURRENTES</t>
        </is>
      </c>
      <c r="B8" s="132">
        <f>COUNTIF(TBL_Clientes[Segmento],"VIP")+COUNTIF(TBL_Clientes[Segmento],"Frecuente")</f>
        <v/>
      </c>
      <c r="C8" s="133">
        <f>B8/B7</f>
        <v/>
      </c>
      <c r="D8" s="134" t="inlineStr">
        <is>
          <t>—</t>
        </is>
      </c>
      <c r="E8" s="135" t="inlineStr">
        <is>
          <t>VIP + Frecuentes</t>
        </is>
      </c>
    </row>
    <row r="10" ht="22" customHeight="1">
      <c r="A10" s="136" t="inlineStr">
        <is>
          <t>▶  RESUMEN FINANCIERO DEL EMBUDO</t>
        </is>
      </c>
    </row>
    <row r="11" ht="30" customHeight="1">
      <c r="A11" s="137">
        <f>" Facturación total: $"&amp;TEXT(SUM(TBL_Ventas[Facturación]),"#,##0")&amp;" | Ganancia total: $"&amp;TEXT(SUM(TBL_Ventas[Ganancia]),"#,##0")&amp;" | Ticket prom.: $"&amp;TEXT(AVERAGE(TBL_Ventas[Facturación]),"#,##0")</f>
        <v/>
      </c>
    </row>
  </sheetData>
  <mergeCells count="4">
    <mergeCell ref="A2:E2"/>
    <mergeCell ref="A11:E11"/>
    <mergeCell ref="A10:E10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A237E"/>
    <outlinePr summaryBelow="1" summaryRight="1"/>
    <pageSetUpPr/>
  </sheetPr>
  <dimension ref="A1:N3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28" customHeight="1">
      <c r="A1" s="138" t="inlineStr">
        <is>
          <t>📊  ESTADO DE RESULTADOS — P&amp;L MENSUAL</t>
        </is>
      </c>
    </row>
    <row r="2" ht="20" customHeight="1">
      <c r="A2" s="139" t="inlineStr">
        <is>
          <t>CONCEPTO</t>
        </is>
      </c>
      <c r="B2" s="140" t="inlineStr">
        <is>
          <t>Ene</t>
        </is>
      </c>
      <c r="C2" s="140" t="inlineStr">
        <is>
          <t>Feb</t>
        </is>
      </c>
      <c r="D2" s="140" t="inlineStr">
        <is>
          <t>Mar</t>
        </is>
      </c>
      <c r="E2" s="140" t="inlineStr">
        <is>
          <t>Abr</t>
        </is>
      </c>
      <c r="F2" s="140" t="inlineStr">
        <is>
          <t>May</t>
        </is>
      </c>
      <c r="G2" s="140" t="inlineStr">
        <is>
          <t>Jun</t>
        </is>
      </c>
      <c r="H2" s="140" t="inlineStr">
        <is>
          <t>Jul</t>
        </is>
      </c>
      <c r="I2" s="140" t="inlineStr">
        <is>
          <t>Ago</t>
        </is>
      </c>
      <c r="J2" s="140" t="inlineStr">
        <is>
          <t>Sep</t>
        </is>
      </c>
      <c r="K2" s="140" t="inlineStr">
        <is>
          <t>Oct</t>
        </is>
      </c>
      <c r="L2" s="140" t="inlineStr">
        <is>
          <t>Nov</t>
        </is>
      </c>
      <c r="M2" s="140" t="inlineStr">
        <is>
          <t>Dic</t>
        </is>
      </c>
      <c r="N2" s="141" t="inlineStr">
        <is>
          <t>TOTAL</t>
        </is>
      </c>
    </row>
    <row r="3" ht="20" customHeight="1">
      <c r="A3" s="142" t="inlineStr">
        <is>
          <t>INGRESOS</t>
        </is>
      </c>
    </row>
    <row r="4" ht="18" customHeight="1">
      <c r="A4" s="143" t="inlineStr">
        <is>
          <t xml:space="preserve">  (+) Ventas brutas</t>
        </is>
      </c>
      <c r="B4" s="144" t="inlineStr"/>
      <c r="C4" s="144" t="inlineStr"/>
      <c r="D4" s="144" t="inlineStr"/>
      <c r="E4" s="144" t="inlineStr"/>
      <c r="F4" s="144" t="n">
        <v>10120</v>
      </c>
      <c r="G4" s="144" t="inlineStr"/>
      <c r="H4" s="144" t="inlineStr"/>
      <c r="I4" s="144" t="inlineStr"/>
      <c r="J4" s="144" t="inlineStr"/>
      <c r="K4" s="144" t="inlineStr"/>
      <c r="L4" s="144" t="inlineStr"/>
      <c r="M4" s="144" t="inlineStr"/>
      <c r="N4" s="145">
        <f>SUM(B4:M4)</f>
        <v/>
      </c>
    </row>
    <row r="5" ht="18" customHeight="1">
      <c r="A5" s="143" t="inlineStr">
        <is>
          <t xml:space="preserve">  (-) Descuentos</t>
        </is>
      </c>
      <c r="B5" s="144" t="inlineStr"/>
      <c r="C5" s="144" t="inlineStr"/>
      <c r="D5" s="144" t="inlineStr"/>
      <c r="E5" s="144" t="inlineStr"/>
      <c r="F5" s="144" t="n">
        <v>150</v>
      </c>
      <c r="G5" s="144" t="inlineStr"/>
      <c r="H5" s="144" t="inlineStr"/>
      <c r="I5" s="144" t="inlineStr"/>
      <c r="J5" s="144" t="inlineStr"/>
      <c r="K5" s="144" t="inlineStr"/>
      <c r="L5" s="144" t="inlineStr"/>
      <c r="M5" s="144" t="inlineStr"/>
      <c r="N5" s="145">
        <f>SUM(B5:M5)</f>
        <v/>
      </c>
    </row>
    <row r="6" ht="18" customHeight="1">
      <c r="A6" s="146" t="inlineStr">
        <is>
          <t>(=) Facturación neta</t>
        </is>
      </c>
      <c r="B6" s="147">
        <f>B4-B5</f>
        <v/>
      </c>
      <c r="C6" s="147">
        <f>C4-C5</f>
        <v/>
      </c>
      <c r="D6" s="147">
        <f>D4-D5</f>
        <v/>
      </c>
      <c r="E6" s="147">
        <f>E4-E5</f>
        <v/>
      </c>
      <c r="F6" s="147">
        <f>F4-F5</f>
        <v/>
      </c>
      <c r="G6" s="147">
        <f>G4-G5</f>
        <v/>
      </c>
      <c r="H6" s="147">
        <f>H4-H5</f>
        <v/>
      </c>
      <c r="I6" s="147">
        <f>I4-I5</f>
        <v/>
      </c>
      <c r="J6" s="147">
        <f>J4-J5</f>
        <v/>
      </c>
      <c r="K6" s="147">
        <f>K4-K5</f>
        <v/>
      </c>
      <c r="L6" s="147">
        <f>L4-L5</f>
        <v/>
      </c>
      <c r="M6" s="147">
        <f>M4-M5</f>
        <v/>
      </c>
      <c r="N6" s="147">
        <f>N4-N5</f>
        <v/>
      </c>
    </row>
    <row r="7" ht="8" customHeight="1"/>
    <row r="8" ht="20" customHeight="1">
      <c r="A8" s="142" t="inlineStr">
        <is>
          <t>COSTOS DE VENTAS</t>
        </is>
      </c>
    </row>
    <row r="9" ht="18" customHeight="1">
      <c r="A9" s="148" t="inlineStr">
        <is>
          <t xml:space="preserve">  (-) Costo de productos</t>
        </is>
      </c>
      <c r="B9" s="149" t="inlineStr"/>
      <c r="C9" s="149" t="inlineStr"/>
      <c r="D9" s="149" t="inlineStr"/>
      <c r="E9" s="149" t="inlineStr"/>
      <c r="F9" s="149" t="n">
        <v>6821</v>
      </c>
      <c r="G9" s="149" t="inlineStr"/>
      <c r="H9" s="149" t="inlineStr"/>
      <c r="I9" s="149" t="inlineStr"/>
      <c r="J9" s="149" t="inlineStr"/>
      <c r="K9" s="149" t="inlineStr"/>
      <c r="L9" s="149" t="inlineStr"/>
      <c r="M9" s="149" t="inlineStr"/>
      <c r="N9" s="150">
        <f>SUM(B9:M9)</f>
        <v/>
      </c>
    </row>
    <row r="10" ht="18" customHeight="1">
      <c r="A10" s="148" t="inlineStr">
        <is>
          <t xml:space="preserve">  (-) Comisiones plataformas</t>
        </is>
      </c>
      <c r="B10" s="149" t="inlineStr"/>
      <c r="C10" s="149" t="inlineStr"/>
      <c r="D10" s="149" t="inlineStr"/>
      <c r="E10" s="149" t="inlineStr"/>
      <c r="F10" s="149" t="n">
        <v>353</v>
      </c>
      <c r="G10" s="149" t="inlineStr"/>
      <c r="H10" s="149" t="inlineStr"/>
      <c r="I10" s="149" t="inlineStr"/>
      <c r="J10" s="149" t="inlineStr"/>
      <c r="K10" s="149" t="inlineStr"/>
      <c r="L10" s="149" t="inlineStr"/>
      <c r="M10" s="149" t="inlineStr"/>
      <c r="N10" s="150">
        <f>SUM(B10:M10)</f>
        <v/>
      </c>
    </row>
    <row r="11" ht="18" customHeight="1">
      <c r="A11" s="148" t="inlineStr">
        <is>
          <t xml:space="preserve">  (-) Envíos</t>
        </is>
      </c>
      <c r="B11" s="149" t="inlineStr"/>
      <c r="C11" s="149" t="inlineStr"/>
      <c r="D11" s="149" t="inlineStr"/>
      <c r="E11" s="149" t="inlineStr"/>
      <c r="F11" s="149" t="n">
        <v>840</v>
      </c>
      <c r="G11" s="149" t="inlineStr"/>
      <c r="H11" s="149" t="inlineStr"/>
      <c r="I11" s="149" t="inlineStr"/>
      <c r="J11" s="149" t="inlineStr"/>
      <c r="K11" s="149" t="inlineStr"/>
      <c r="L11" s="149" t="inlineStr"/>
      <c r="M11" s="149" t="inlineStr"/>
      <c r="N11" s="150">
        <f>SUM(B11:M11)</f>
        <v/>
      </c>
    </row>
    <row r="12" ht="18" customHeight="1">
      <c r="A12" s="151" t="inlineStr">
        <is>
          <t>(=) MARGEN BRUTO</t>
        </is>
      </c>
      <c r="B12" s="152">
        <f>B6-B9-B10-B11</f>
        <v/>
      </c>
      <c r="C12" s="152">
        <f>C6-C9-C10-C11</f>
        <v/>
      </c>
      <c r="D12" s="152">
        <f>D6-D9-D10-D11</f>
        <v/>
      </c>
      <c r="E12" s="152">
        <f>E6-E9-E10-E11</f>
        <v/>
      </c>
      <c r="F12" s="152">
        <f>F6-F9-F10-F11</f>
        <v/>
      </c>
      <c r="G12" s="152">
        <f>G6-G9-G10-G11</f>
        <v/>
      </c>
      <c r="H12" s="152">
        <f>H6-H9-H10-H11</f>
        <v/>
      </c>
      <c r="I12" s="152">
        <f>I6-I9-I10-I11</f>
        <v/>
      </c>
      <c r="J12" s="152">
        <f>J6-J9-J10-J11</f>
        <v/>
      </c>
      <c r="K12" s="152">
        <f>K6-K9-K10-K11</f>
        <v/>
      </c>
      <c r="L12" s="152">
        <f>L6-L9-L10-L11</f>
        <v/>
      </c>
      <c r="M12" s="152">
        <f>M6-M9-M10-M11</f>
        <v/>
      </c>
      <c r="N12" s="152">
        <f>N6-N9-N10-N11</f>
        <v/>
      </c>
    </row>
    <row r="13" ht="18" customHeight="1">
      <c r="A13" s="153" t="inlineStr">
        <is>
          <t>MARGEN BRUTO %</t>
        </is>
      </c>
      <c r="B13" s="154">
        <f>IF(B6&gt;0,B12/B6*100,0)</f>
        <v/>
      </c>
      <c r="C13" s="154">
        <f>IF(C6&gt;0,C12/C6*100,0)</f>
        <v/>
      </c>
      <c r="D13" s="154">
        <f>IF(D6&gt;0,D12/D6*100,0)</f>
        <v/>
      </c>
      <c r="E13" s="154">
        <f>IF(E6&gt;0,E12/E6*100,0)</f>
        <v/>
      </c>
      <c r="F13" s="154">
        <f>IF(F6&gt;0,F12/F6*100,0)</f>
        <v/>
      </c>
      <c r="G13" s="154">
        <f>IF(G6&gt;0,G12/G6*100,0)</f>
        <v/>
      </c>
      <c r="H13" s="154">
        <f>IF(H6&gt;0,H12/H6*100,0)</f>
        <v/>
      </c>
      <c r="I13" s="154">
        <f>IF(I6&gt;0,I12/I6*100,0)</f>
        <v/>
      </c>
      <c r="J13" s="154">
        <f>IF(J6&gt;0,J12/J6*100,0)</f>
        <v/>
      </c>
      <c r="K13" s="154">
        <f>IF(K6&gt;0,K12/K6*100,0)</f>
        <v/>
      </c>
      <c r="L13" s="154">
        <f>IF(L6&gt;0,L12/L6*100,0)</f>
        <v/>
      </c>
      <c r="M13" s="154">
        <f>IF(M6&gt;0,M12/M6*100,0)</f>
        <v/>
      </c>
      <c r="N13" s="154">
        <f>IF(N6&gt;0,N12/N6*100,0)</f>
        <v/>
      </c>
    </row>
    <row r="14" ht="8" customHeight="1"/>
    <row r="15" ht="20" customHeight="1">
      <c r="A15" s="142" t="inlineStr">
        <is>
          <t>GASTOS OPERATIVOS</t>
        </is>
      </c>
    </row>
    <row r="16" ht="18" customHeight="1">
      <c r="A16" s="155" t="inlineStr">
        <is>
          <t xml:space="preserve">  (-) Publicidad Meta/Google</t>
        </is>
      </c>
      <c r="B16" s="156" t="inlineStr"/>
      <c r="C16" s="156" t="inlineStr"/>
      <c r="D16" s="156" t="inlineStr"/>
      <c r="E16" s="156" t="inlineStr"/>
      <c r="F16" s="156" t="n">
        <v>4000</v>
      </c>
      <c r="G16" s="156" t="inlineStr"/>
      <c r="H16" s="156" t="inlineStr"/>
      <c r="I16" s="156" t="inlineStr"/>
      <c r="J16" s="156" t="inlineStr"/>
      <c r="K16" s="156" t="inlineStr"/>
      <c r="L16" s="156" t="inlineStr"/>
      <c r="M16" s="156" t="inlineStr"/>
      <c r="N16" s="157">
        <f>SUM(B16:M16)</f>
        <v/>
      </c>
    </row>
    <row r="17" ht="18" customHeight="1">
      <c r="A17" s="155" t="inlineStr">
        <is>
          <t xml:space="preserve">  (-) Software / SaaS</t>
        </is>
      </c>
      <c r="B17" s="156" t="inlineStr"/>
      <c r="C17" s="156" t="inlineStr"/>
      <c r="D17" s="156" t="inlineStr"/>
      <c r="E17" s="156" t="inlineStr"/>
      <c r="F17" s="156" t="n">
        <v>630</v>
      </c>
      <c r="G17" s="156" t="inlineStr"/>
      <c r="H17" s="156" t="inlineStr"/>
      <c r="I17" s="156" t="inlineStr"/>
      <c r="J17" s="156" t="inlineStr"/>
      <c r="K17" s="156" t="inlineStr"/>
      <c r="L17" s="156" t="inlineStr"/>
      <c r="M17" s="156" t="inlineStr"/>
      <c r="N17" s="157">
        <f>SUM(B17:M17)</f>
        <v/>
      </c>
    </row>
    <row r="18" ht="18" customHeight="1">
      <c r="A18" s="155" t="inlineStr">
        <is>
          <t xml:space="preserve">  (-) Electricidad</t>
        </is>
      </c>
      <c r="B18" s="156" t="inlineStr"/>
      <c r="C18" s="156" t="inlineStr"/>
      <c r="D18" s="156" t="inlineStr"/>
      <c r="E18" s="156" t="inlineStr"/>
      <c r="F18" s="156" t="n">
        <v>1200</v>
      </c>
      <c r="G18" s="156" t="inlineStr"/>
      <c r="H18" s="156" t="inlineStr"/>
      <c r="I18" s="156" t="inlineStr"/>
      <c r="J18" s="156" t="inlineStr"/>
      <c r="K18" s="156" t="inlineStr"/>
      <c r="L18" s="156" t="inlineStr"/>
      <c r="M18" s="156" t="inlineStr"/>
      <c r="N18" s="157">
        <f>SUM(B18:M18)</f>
        <v/>
      </c>
    </row>
    <row r="19" ht="18" customHeight="1">
      <c r="A19" s="155" t="inlineStr">
        <is>
          <t xml:space="preserve">  (-) Filamento / Materiales</t>
        </is>
      </c>
      <c r="B19" s="156" t="inlineStr"/>
      <c r="C19" s="156" t="inlineStr"/>
      <c r="D19" s="156" t="inlineStr"/>
      <c r="E19" s="156" t="inlineStr"/>
      <c r="F19" s="156" t="n">
        <v>2450</v>
      </c>
      <c r="G19" s="156" t="inlineStr"/>
      <c r="H19" s="156" t="inlineStr"/>
      <c r="I19" s="156" t="inlineStr"/>
      <c r="J19" s="156" t="inlineStr"/>
      <c r="K19" s="156" t="inlineStr"/>
      <c r="L19" s="156" t="inlineStr"/>
      <c r="M19" s="156" t="inlineStr"/>
      <c r="N19" s="157">
        <f>SUM(B19:M19)</f>
        <v/>
      </c>
    </row>
    <row r="20" ht="18" customHeight="1">
      <c r="A20" s="155" t="inlineStr">
        <is>
          <t xml:space="preserve">  (-) DTF / Sublimación</t>
        </is>
      </c>
      <c r="B20" s="156" t="inlineStr"/>
      <c r="C20" s="156" t="inlineStr"/>
      <c r="D20" s="156" t="inlineStr"/>
      <c r="E20" s="156" t="inlineStr"/>
      <c r="F20" s="156" t="n">
        <v>800</v>
      </c>
      <c r="G20" s="156" t="inlineStr"/>
      <c r="H20" s="156" t="inlineStr"/>
      <c r="I20" s="156" t="inlineStr"/>
      <c r="J20" s="156" t="inlineStr"/>
      <c r="K20" s="156" t="inlineStr"/>
      <c r="L20" s="156" t="inlineStr"/>
      <c r="M20" s="156" t="inlineStr"/>
      <c r="N20" s="157">
        <f>SUM(B20:M20)</f>
        <v/>
      </c>
    </row>
    <row r="21" ht="18" customHeight="1">
      <c r="A21" s="155" t="inlineStr">
        <is>
          <t xml:space="preserve">  (-) Packaging</t>
        </is>
      </c>
      <c r="B21" s="156" t="inlineStr"/>
      <c r="C21" s="156" t="inlineStr"/>
      <c r="D21" s="156" t="inlineStr"/>
      <c r="E21" s="156" t="inlineStr"/>
      <c r="F21" s="156" t="n">
        <v>650</v>
      </c>
      <c r="G21" s="156" t="inlineStr"/>
      <c r="H21" s="156" t="inlineStr"/>
      <c r="I21" s="156" t="inlineStr"/>
      <c r="J21" s="156" t="inlineStr"/>
      <c r="K21" s="156" t="inlineStr"/>
      <c r="L21" s="156" t="inlineStr"/>
      <c r="M21" s="156" t="inlineStr"/>
      <c r="N21" s="157">
        <f>SUM(B21:M21)</f>
        <v/>
      </c>
    </row>
    <row r="22" ht="18" customHeight="1">
      <c r="A22" s="155" t="inlineStr">
        <is>
          <t xml:space="preserve">  (-) Otros gastos</t>
        </is>
      </c>
      <c r="B22" s="156" t="inlineStr"/>
      <c r="C22" s="156" t="inlineStr"/>
      <c r="D22" s="156" t="inlineStr"/>
      <c r="E22" s="156" t="inlineStr"/>
      <c r="F22" s="156" t="n">
        <v>500</v>
      </c>
      <c r="G22" s="156" t="inlineStr"/>
      <c r="H22" s="156" t="inlineStr"/>
      <c r="I22" s="156" t="inlineStr"/>
      <c r="J22" s="156" t="inlineStr"/>
      <c r="K22" s="156" t="inlineStr"/>
      <c r="L22" s="156" t="inlineStr"/>
      <c r="M22" s="156" t="inlineStr"/>
      <c r="N22" s="157">
        <f>SUM(B22:M22)</f>
        <v/>
      </c>
    </row>
    <row r="23" ht="18" customHeight="1">
      <c r="A23" s="158" t="inlineStr">
        <is>
          <t>(=) TOTAL GASTOS OPERATIVOS</t>
        </is>
      </c>
      <c r="B23" s="159">
        <f>B16+B17+B18+B19+B20+B21+B22</f>
        <v/>
      </c>
      <c r="C23" s="159">
        <f>C16+C17+C18+C19+C20+C21+C22</f>
        <v/>
      </c>
      <c r="D23" s="159">
        <f>D16+D17+D18+D19+D20+D21+D22</f>
        <v/>
      </c>
      <c r="E23" s="159">
        <f>E16+E17+E18+E19+E20+E21+E22</f>
        <v/>
      </c>
      <c r="F23" s="159">
        <f>F16+F17+F18+F19+F20+F21+F22</f>
        <v/>
      </c>
      <c r="G23" s="159">
        <f>G16+G17+G18+G19+G20+G21+G22</f>
        <v/>
      </c>
      <c r="H23" s="159">
        <f>H16+H17+H18+H19+H20+H21+H22</f>
        <v/>
      </c>
      <c r="I23" s="159">
        <f>I16+I17+I18+I19+I20+I21+I22</f>
        <v/>
      </c>
      <c r="J23" s="159">
        <f>J16+J17+J18+J19+J20+J21+J22</f>
        <v/>
      </c>
      <c r="K23" s="159">
        <f>K16+K17+K18+K19+K20+K21+K22</f>
        <v/>
      </c>
      <c r="L23" s="159">
        <f>L16+L17+L18+L19+L20+L21+L22</f>
        <v/>
      </c>
      <c r="M23" s="159">
        <f>M16+M17+M18+M19+M20+M21+M22</f>
        <v/>
      </c>
      <c r="N23" s="159">
        <f>N16+N17+N18+N19+N20+N21+N22</f>
        <v/>
      </c>
    </row>
    <row r="24" ht="8" customHeight="1"/>
    <row r="25" ht="20" customHeight="1">
      <c r="A25" s="142" t="inlineStr">
        <is>
          <t>RESULTADO</t>
        </is>
      </c>
    </row>
    <row r="26" ht="18" customHeight="1">
      <c r="A26" s="151" t="inlineStr">
        <is>
          <t>(=) RESULTADO OPERATIVO</t>
        </is>
      </c>
      <c r="B26" s="160">
        <f>B12-B23</f>
        <v/>
      </c>
      <c r="C26" s="160">
        <f>C12-C23</f>
        <v/>
      </c>
      <c r="D26" s="160">
        <f>D12-D23</f>
        <v/>
      </c>
      <c r="E26" s="160">
        <f>E12-E23</f>
        <v/>
      </c>
      <c r="F26" s="160">
        <f>F12-F23</f>
        <v/>
      </c>
      <c r="G26" s="160">
        <f>G12-G23</f>
        <v/>
      </c>
      <c r="H26" s="160">
        <f>H12-H23</f>
        <v/>
      </c>
      <c r="I26" s="160">
        <f>I12-I23</f>
        <v/>
      </c>
      <c r="J26" s="160">
        <f>J12-J23</f>
        <v/>
      </c>
      <c r="K26" s="160">
        <f>K12-K23</f>
        <v/>
      </c>
      <c r="L26" s="160">
        <f>L12-L23</f>
        <v/>
      </c>
      <c r="M26" s="160">
        <f>M12-M23</f>
        <v/>
      </c>
      <c r="N26" s="160">
        <f>N12-N23</f>
        <v/>
      </c>
    </row>
    <row r="27" ht="18" customHeight="1">
      <c r="A27" s="153" t="inlineStr">
        <is>
          <t>MARGEN OPERATIVO %</t>
        </is>
      </c>
      <c r="B27" s="161" t="inlineStr"/>
      <c r="C27" s="161" t="inlineStr"/>
      <c r="D27" s="161" t="inlineStr"/>
      <c r="E27" s="161" t="inlineStr"/>
      <c r="F27" s="161" t="inlineStr"/>
      <c r="G27" s="161" t="inlineStr"/>
      <c r="H27" s="161" t="inlineStr"/>
      <c r="I27" s="161" t="inlineStr"/>
      <c r="J27" s="161" t="inlineStr"/>
      <c r="K27" s="161" t="inlineStr"/>
      <c r="L27" s="161" t="inlineStr"/>
      <c r="M27" s="161" t="inlineStr"/>
      <c r="N27" s="162">
        <f>SUM(B27:M27)</f>
        <v/>
      </c>
    </row>
    <row r="28" ht="18" customHeight="1">
      <c r="A28" s="148" t="inlineStr">
        <is>
          <t xml:space="preserve">  (-) Impuestos estimados (10%)</t>
        </is>
      </c>
      <c r="B28" s="149">
        <f>IF(B26&gt;0,B26*0.10,0)</f>
        <v/>
      </c>
      <c r="C28" s="149">
        <f>IF(C26&gt;0,C26*0.10,0)</f>
        <v/>
      </c>
      <c r="D28" s="149">
        <f>IF(D26&gt;0,D26*0.10,0)</f>
        <v/>
      </c>
      <c r="E28" s="149">
        <f>IF(E26&gt;0,E26*0.10,0)</f>
        <v/>
      </c>
      <c r="F28" s="149">
        <f>IF(F26&gt;0,F26*0.10,0)</f>
        <v/>
      </c>
      <c r="G28" s="149">
        <f>IF(G26&gt;0,G26*0.10,0)</f>
        <v/>
      </c>
      <c r="H28" s="149">
        <f>IF(H26&gt;0,H26*0.10,0)</f>
        <v/>
      </c>
      <c r="I28" s="149">
        <f>IF(I26&gt;0,I26*0.10,0)</f>
        <v/>
      </c>
      <c r="J28" s="149">
        <f>IF(J26&gt;0,J26*0.10,0)</f>
        <v/>
      </c>
      <c r="K28" s="149">
        <f>IF(K26&gt;0,K26*0.10,0)</f>
        <v/>
      </c>
      <c r="L28" s="149">
        <f>IF(L26&gt;0,L26*0.10,0)</f>
        <v/>
      </c>
      <c r="M28" s="149">
        <f>IF(M26&gt;0,M26*0.10,0)</f>
        <v/>
      </c>
      <c r="N28" s="149">
        <f>IF(N26&gt;0,N26*0.10,0)</f>
        <v/>
      </c>
    </row>
    <row r="29" ht="18" customHeight="1">
      <c r="A29" s="163" t="inlineStr">
        <is>
          <t>(=) UTILIDAD NETA</t>
        </is>
      </c>
      <c r="B29" s="164">
        <f>B26-B28</f>
        <v/>
      </c>
      <c r="C29" s="164">
        <f>C26-C28</f>
        <v/>
      </c>
      <c r="D29" s="164">
        <f>D26-D28</f>
        <v/>
      </c>
      <c r="E29" s="164">
        <f>E26-E28</f>
        <v/>
      </c>
      <c r="F29" s="164">
        <f>F26-F28</f>
        <v/>
      </c>
      <c r="G29" s="164">
        <f>G26-G28</f>
        <v/>
      </c>
      <c r="H29" s="164">
        <f>H26-H28</f>
        <v/>
      </c>
      <c r="I29" s="164">
        <f>I26-I28</f>
        <v/>
      </c>
      <c r="J29" s="164">
        <f>J26-J28</f>
        <v/>
      </c>
      <c r="K29" s="164">
        <f>K26-K28</f>
        <v/>
      </c>
      <c r="L29" s="164">
        <f>L26-L28</f>
        <v/>
      </c>
      <c r="M29" s="164">
        <f>M26-M28</f>
        <v/>
      </c>
      <c r="N29" s="164">
        <f>N26-N28</f>
        <v/>
      </c>
    </row>
    <row r="30" ht="18" customHeight="1">
      <c r="A30" s="165" t="inlineStr">
        <is>
          <t>MARGEN NETO %</t>
        </is>
      </c>
      <c r="B30" s="166">
        <f>IF(B6&gt;0,B29/B6*100,0)</f>
        <v/>
      </c>
      <c r="C30" s="166">
        <f>IF(C6&gt;0,C29/C6*100,0)</f>
        <v/>
      </c>
      <c r="D30" s="166">
        <f>IF(D6&gt;0,D29/D6*100,0)</f>
        <v/>
      </c>
      <c r="E30" s="166">
        <f>IF(E6&gt;0,E29/E6*100,0)</f>
        <v/>
      </c>
      <c r="F30" s="166">
        <f>IF(F6&gt;0,F29/F6*100,0)</f>
        <v/>
      </c>
      <c r="G30" s="166">
        <f>IF(G6&gt;0,G29/G6*100,0)</f>
        <v/>
      </c>
      <c r="H30" s="166">
        <f>IF(H6&gt;0,H29/H6*100,0)</f>
        <v/>
      </c>
      <c r="I30" s="166">
        <f>IF(I6&gt;0,I29/I6*100,0)</f>
        <v/>
      </c>
      <c r="J30" s="166">
        <f>IF(J6&gt;0,J29/J6*100,0)</f>
        <v/>
      </c>
      <c r="K30" s="166">
        <f>IF(K6&gt;0,K29/K6*100,0)</f>
        <v/>
      </c>
      <c r="L30" s="166">
        <f>IF(L6&gt;0,L29/L6*100,0)</f>
        <v/>
      </c>
      <c r="M30" s="166">
        <f>IF(M6&gt;0,M29/M6*100,0)</f>
        <v/>
      </c>
      <c r="N30" s="166">
        <f>IF(N6&gt;0,N29/N6*100,0)</f>
        <v/>
      </c>
    </row>
  </sheetData>
  <mergeCells count="5">
    <mergeCell ref="A8:N8"/>
    <mergeCell ref="A3:N3"/>
    <mergeCell ref="A15:N15"/>
    <mergeCell ref="A25:N25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31837"/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167" t="inlineStr">
        <is>
          <t>🏎️  EL RINCÓN 3D LAB — DASHBOARD EJECUTIVO</t>
        </is>
      </c>
    </row>
    <row r="2" ht="16" customHeight="1">
      <c r="A2" s="168">
        <f>" Período: "&amp;TEXT(TODAY(),"MMMM YYYY")&amp;" | Última actualización: "&amp;TEXT(NOW(),"DD/MM/YYYY HH:MM")</f>
        <v/>
      </c>
    </row>
    <row r="3" ht="22" customHeight="1">
      <c r="A3" s="136" t="inlineStr">
        <is>
          <t>💰  FINANCIERO</t>
        </is>
      </c>
    </row>
    <row r="4" ht="16" customHeight="1">
      <c r="A4" s="169" t="inlineStr">
        <is>
          <t>VENTAS MES</t>
        </is>
      </c>
      <c r="B4" s="169" t="inlineStr">
        <is>
          <t>VENTAS AÑO</t>
        </is>
      </c>
      <c r="C4" s="169" t="inlineStr">
        <is>
          <t>UTILIDAD NETA MES</t>
        </is>
      </c>
      <c r="D4" s="169" t="inlineStr">
        <is>
          <t>FACTURACIÓN TOTAL</t>
        </is>
      </c>
      <c r="E4" s="169" t="inlineStr">
        <is>
          <t>MARGEN PROMEDIO %</t>
        </is>
      </c>
      <c r="F4" s="169" t="inlineStr">
        <is>
          <t>TICKET PROMEDIO</t>
        </is>
      </c>
      <c r="G4" s="169" t="inlineStr">
        <is>
          <t>TOTAL PEDIDOS</t>
        </is>
      </c>
    </row>
    <row r="5" ht="38" customHeight="1">
      <c r="A5" s="170">
        <f>SUMPRODUCT((MONTH(TBL_Ventas[Fecha])=MONTH(TODAY()))*(YEAR(TBL_Ventas[Fecha])=YEAR(TODAY()))*TBL_Ventas[Facturación])</f>
        <v/>
      </c>
      <c r="B5" s="171">
        <f>SUMPRODUCT((YEAR(TBL_Ventas[Fecha])=YEAR(TODAY()))*TBL_Ventas[Facturación])</f>
        <v/>
      </c>
      <c r="C5" s="172">
        <f>SUMPRODUCT((MONTH(TBL_Ventas[Fecha])=MONTH(TODAY()))*(YEAR(TBL_Ventas[Fecha])=YEAR(TODAY()))*TBL_Ventas[Ganancia])</f>
        <v/>
      </c>
      <c r="D5" s="173">
        <f>SUM(TBL_Ventas[Facturación])</f>
        <v/>
      </c>
      <c r="E5" s="174">
        <f>IF(SUM(TBL_Ventas[Facturación])&gt;0,SUM(TBL_Ventas[Ganancia])/SUM(TBL_Ventas[Facturación])*100,0)</f>
        <v/>
      </c>
      <c r="F5" s="175">
        <f>IFERROR(AVERAGE(TBL_Ventas[Facturación]),0)</f>
        <v/>
      </c>
      <c r="G5" s="176">
        <f>COUNTA(TBL_Ventas[ID Venta])</f>
        <v/>
      </c>
    </row>
    <row r="7" ht="22" customHeight="1">
      <c r="A7" s="136" t="inlineStr">
        <is>
          <t>🎯  COMERCIAL &amp; MARKETING</t>
        </is>
      </c>
    </row>
    <row r="8" ht="16" customHeight="1">
      <c r="A8" s="169" t="inlineStr">
        <is>
          <t>CLIENTES NUEVOS MES</t>
        </is>
      </c>
      <c r="B8" s="169" t="inlineStr">
        <is>
          <t>CLIENTES VIP</t>
        </is>
      </c>
      <c r="C8" s="169" t="inlineStr">
        <is>
          <t>CLIENTES RECURRENTES</t>
        </is>
      </c>
      <c r="D8" s="169" t="inlineStr">
        <is>
          <t>LEADS MES</t>
        </is>
      </c>
      <c r="E8" s="169" t="inlineStr">
        <is>
          <t>CONV. LEAD→VENTA %</t>
        </is>
      </c>
      <c r="F8" s="169" t="inlineStr">
        <is>
          <t>INVERSIÓN PUBLI MES</t>
        </is>
      </c>
      <c r="G8" s="169" t="inlineStr">
        <is>
          <t>ROAS PROMEDIO</t>
        </is>
      </c>
    </row>
    <row r="9" ht="38" customHeight="1">
      <c r="A9" s="177">
        <f>SUMPRODUCT((MONTH(TBL_Clientes[1ra Compra])=MONTH(TODAY()))*(YEAR(TBL_Clientes[1ra Compra])=YEAR(TODAY())))</f>
        <v/>
      </c>
      <c r="B9" s="178">
        <f>COUNTIF(TBL_Clientes[Segmento],"VIP")</f>
        <v/>
      </c>
      <c r="C9" s="179">
        <f>COUNTIF(TBL_Clientes[Segmento],"Frecuente")+COUNTIF(TBL_Clientes[Segmento],"VIP")</f>
        <v/>
      </c>
      <c r="D9" s="170">
        <f>SUMPRODUCT((MONTH(TBL_Leads[Fecha])=MONTH(TODAY()))*(YEAR(TBL_Leads[Fecha])=YEAR(TODAY())))</f>
        <v/>
      </c>
      <c r="E9" s="174">
        <f>IFERROR(COUNTA(TBL_Ventas[ID Venta])/COUNTA(TBL_Leads[ID Lead])*100,0)</f>
        <v/>
      </c>
      <c r="F9" s="180">
        <f>SUMPRODUCT((MONTH(TBL_Publicidad[Fecha])=MONTH(TODAY()))*(YEAR(TBL_Publicidad[Fecha])=YEAR(TODAY()))*TBL_Publicidad[Inversión])</f>
        <v/>
      </c>
      <c r="G9" s="181">
        <f>IFERROR(SUM(TBL_Publicidad[Facturación])/SUM(TBL_Publicidad[Inversión]),0)</f>
        <v/>
      </c>
    </row>
    <row r="11" ht="22" customHeight="1">
      <c r="A11" s="136" t="inlineStr">
        <is>
          <t>🤖  PITBOT &amp; OPERACIONES</t>
        </is>
      </c>
    </row>
    <row r="12" ht="16" customHeight="1">
      <c r="A12" s="169" t="inlineStr">
        <is>
          <t>CONVERSACIONES PITBOT</t>
        </is>
      </c>
      <c r="B12" s="169" t="inlineStr">
        <is>
          <t>VENTAS POR PITBOT</t>
        </is>
      </c>
      <c r="C12" s="169" t="inlineStr">
        <is>
          <t>CONV. PITBOT %</t>
        </is>
      </c>
      <c r="D12" s="169" t="inlineStr">
        <is>
          <t>COTIZACIONES ENVIADAS</t>
        </is>
      </c>
      <c r="E12" s="169" t="inlineStr">
        <is>
          <t>COTIZ. ACEPTADAS %</t>
        </is>
      </c>
      <c r="F12" s="169" t="inlineStr">
        <is>
          <t>PRODUCTOS EN ALERTA</t>
        </is>
      </c>
      <c r="G12" s="169" t="inlineStr">
        <is>
          <t>PRODUCTOS ACTIVOS</t>
        </is>
      </c>
    </row>
    <row r="13" ht="38" customHeight="1">
      <c r="A13" s="173">
        <f>COUNTA(TBL_PitBot[ID Conv.])</f>
        <v/>
      </c>
      <c r="B13" s="172">
        <f>COUNTIF(TBL_PitBot[Resultado],"Venta")</f>
        <v/>
      </c>
      <c r="C13" s="182">
        <f>IFERROR(COUNTIF(TBL_PitBot[Resultado],"Venta")/COUNTA(TBL_PitBot[ID Conv.])*100,0)</f>
        <v/>
      </c>
      <c r="D13" s="171">
        <f>COUNTA(TBL_Cotizaciones[ID Cotización])</f>
        <v/>
      </c>
      <c r="E13" s="183">
        <f>IFERROR(COUNTIF(TBL_Cotizaciones[Estado],"Aceptada")/COUNTA(TBL_Cotizaciones[ID Cotización])*100,0)</f>
        <v/>
      </c>
      <c r="F13" s="178">
        <f>COUNTIF(TBL_Inventario[Alerta],"STOCK BAJO")+COUNTIF(TBL_Inventario[Alerta],"CRÍTICO")</f>
        <v/>
      </c>
      <c r="G13" s="172">
        <f>COUNTIF(TBL_Productos[Activo],"SI")</f>
        <v/>
      </c>
    </row>
    <row r="15" ht="22" customHeight="1">
      <c r="A15" s="136" t="inlineStr">
        <is>
          <t>🏆  TOP PRODUCTOS POR FACTURACIÓN</t>
        </is>
      </c>
      <c r="H15" s="136" t="inlineStr">
        <is>
          <t>📡  FACTURACIÓN POR CANAL</t>
        </is>
      </c>
    </row>
    <row r="16">
      <c r="A16" s="184" t="inlineStr">
        <is>
          <t>Producto</t>
        </is>
      </c>
      <c r="B16" s="184" t="inlineStr">
        <is>
          <t>Ventas</t>
        </is>
      </c>
      <c r="C16" s="184" t="inlineStr">
        <is>
          <t>Facturación</t>
        </is>
      </c>
      <c r="D16" s="184" t="inlineStr">
        <is>
          <t>Ganancia</t>
        </is>
      </c>
      <c r="E16" s="184" t="inlineStr">
        <is>
          <t>Margen %</t>
        </is>
      </c>
      <c r="H16" s="184" t="inlineStr">
        <is>
          <t>Canal</t>
        </is>
      </c>
      <c r="I16" s="184" t="inlineStr">
        <is>
          <t>Pedidos</t>
        </is>
      </c>
      <c r="J16" s="184" t="inlineStr">
        <is>
          <t>Facturación</t>
        </is>
      </c>
      <c r="K16" s="184" t="inlineStr">
        <is>
          <t>Ganancia</t>
        </is>
      </c>
      <c r="L16" s="184" t="inlineStr">
        <is>
          <t>Margen %</t>
        </is>
      </c>
    </row>
    <row r="17" ht="16" customHeight="1">
      <c r="A17" s="185" t="inlineStr">
        <is>
          <t>⚡ Conectar con Tabla Dinámica o Power Query
basada en TBL_Ventas + TBL_DetalleVentas
para ranking automático de productos.
Usar: Insertar &gt; Tabla Dinámica &gt; desde TBL_DetalleVentas
Agrupar por: Producto | Valores: SUMA Ganancia, SUMA Facturación</t>
        </is>
      </c>
      <c r="H17" s="186" t="inlineStr">
        <is>
          <t>Instagram</t>
        </is>
      </c>
      <c r="I17" s="187">
        <f>COUNTIF(TBL_Ventas[Canal],H17)</f>
        <v/>
      </c>
      <c r="J17" s="187">
        <f>IFERROR(SUMIF(TBL_Ventas[Canal],H17,TBL_Ventas[Facturación]),0)</f>
        <v/>
      </c>
      <c r="K17" s="188" t="n"/>
      <c r="L17" s="188" t="n"/>
    </row>
    <row r="18" ht="16" customHeight="1">
      <c r="H18" s="186" t="inlineStr">
        <is>
          <t>WhatsApp</t>
        </is>
      </c>
      <c r="I18" s="187">
        <f>COUNTIF(TBL_Ventas[Canal],H18)</f>
        <v/>
      </c>
      <c r="J18" s="187">
        <f>IFERROR(SUMIF(TBL_Ventas[Canal],H18,TBL_Ventas[Facturación]),0)</f>
        <v/>
      </c>
      <c r="K18" s="188" t="n"/>
      <c r="L18" s="188" t="n"/>
    </row>
    <row r="19" ht="16" customHeight="1">
      <c r="H19" s="186" t="inlineStr">
        <is>
          <t>Facebook</t>
        </is>
      </c>
      <c r="I19" s="187">
        <f>COUNTIF(TBL_Ventas[Canal],H19)</f>
        <v/>
      </c>
      <c r="J19" s="187">
        <f>IFERROR(SUMIF(TBL_Ventas[Canal],H19,TBL_Ventas[Facturación]),0)</f>
        <v/>
      </c>
      <c r="K19" s="188" t="n"/>
      <c r="L19" s="188" t="n"/>
    </row>
    <row r="20" ht="16" customHeight="1">
      <c r="H20" s="186" t="inlineStr">
        <is>
          <t>WooCommerce</t>
        </is>
      </c>
      <c r="I20" s="187">
        <f>COUNTIF(TBL_Ventas[Canal],H20)</f>
        <v/>
      </c>
      <c r="J20" s="187">
        <f>IFERROR(SUMIF(TBL_Ventas[Canal],H20,TBL_Ventas[Facturación]),0)</f>
        <v/>
      </c>
      <c r="K20" s="188" t="n"/>
      <c r="L20" s="188" t="n"/>
    </row>
    <row r="21" ht="16" customHeight="1">
      <c r="H21" s="186" t="inlineStr">
        <is>
          <t>Mercado Libre</t>
        </is>
      </c>
      <c r="I21" s="187">
        <f>COUNTIF(TBL_Ventas[Canal],H21)</f>
        <v/>
      </c>
      <c r="J21" s="187">
        <f>IFERROR(SUMIF(TBL_Ventas[Canal],H21,TBL_Ventas[Facturación]),0)</f>
        <v/>
      </c>
      <c r="K21" s="188" t="n"/>
      <c r="L21" s="188" t="n"/>
    </row>
    <row r="22" ht="16" customHeight="1">
      <c r="H22" s="186" t="inlineStr">
        <is>
          <t>Evento</t>
        </is>
      </c>
      <c r="I22" s="187">
        <f>COUNTIF(TBL_Ventas[Canal],H22)</f>
        <v/>
      </c>
      <c r="J22" s="187">
        <f>IFERROR(SUMIF(TBL_Ventas[Canal],H22,TBL_Ventas[Facturación]),0)</f>
        <v/>
      </c>
      <c r="K22" s="188" t="n"/>
      <c r="L22" s="188" t="n"/>
    </row>
    <row r="23" ht="16" customHeight="1">
      <c r="H23" s="186" t="inlineStr">
        <is>
          <t>Total</t>
        </is>
      </c>
      <c r="I23" s="187">
        <f>COUNTIF(TBL_Ventas[Canal],H23)</f>
        <v/>
      </c>
      <c r="J23" s="187">
        <f>IFERROR(SUMIF(TBL_Ventas[Canal],H23,TBL_Ventas[Facturación]),0)</f>
        <v/>
      </c>
      <c r="K23" s="188" t="n"/>
      <c r="L23" s="188" t="n"/>
    </row>
  </sheetData>
  <mergeCells count="8">
    <mergeCell ref="A3:N3"/>
    <mergeCell ref="A2:N2"/>
    <mergeCell ref="A7:N7"/>
    <mergeCell ref="A11:N11"/>
    <mergeCell ref="A15:G15"/>
    <mergeCell ref="A17:G23"/>
    <mergeCell ref="H15:N15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565C0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189" t="inlineStr">
        <is>
          <t>📦  DASHBOARD PRODUCTOS</t>
        </is>
      </c>
    </row>
    <row r="2" ht="16" customHeight="1">
      <c r="A2" s="168" t="inlineStr">
        <is>
          <t>Conectar con tablas maestras · Usar Tablas Dinámicas o Power Query · Exportable a Looker Studio / Power BI</t>
        </is>
      </c>
    </row>
    <row r="4" ht="20" customHeight="1">
      <c r="A4" s="190" t="inlineStr">
        <is>
          <t>TOP PRODUCTOS POR FACTURACIÓN</t>
        </is>
      </c>
      <c r="E4" s="190" t="inlineStr">
        <is>
          <t>TOP PRODUCTOS POR GANANCIA</t>
        </is>
      </c>
      <c r="I4" s="190" t="inlineStr">
        <is>
          <t>TOP PRODUCTOS POR MARGEN %</t>
        </is>
      </c>
    </row>
    <row r="5" ht="14" customHeight="1">
      <c r="A5" s="191" t="inlineStr">
        <is>
          <t>Usar Tabla Dinámica → TBL_DetalleVentas
Campos: Producto (filas), SUMA(Subtotal) (valores)
Filtro: Canal, Fecha</t>
        </is>
      </c>
      <c r="E5" s="191" t="inlineStr">
        <is>
          <t>Agregar columna calculada Ganancia en TBL_DetalleVentas
Tabla Dinámica con SUMA(Ganancia) por Producto</t>
        </is>
      </c>
      <c r="I5" s="191" t="inlineStr">
        <is>
          <t>Campo calculado: Margen = Ganancia/Subtotal
Ordenar descendente</t>
        </is>
      </c>
    </row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6" ht="20" customHeight="1">
      <c r="A16" s="190" t="inlineStr">
        <is>
          <t>TOP PRODUCTOS POR UNIDADES</t>
        </is>
      </c>
      <c r="E16" s="190" t="inlineStr">
        <is>
          <t>PRODUCTOS SIN MOVIMIENTO</t>
        </is>
      </c>
    </row>
    <row r="17" ht="14" customHeight="1">
      <c r="A17" s="191" t="inlineStr">
        <is>
          <t>SUMA(Cantidad) por Producto</t>
        </is>
      </c>
      <c r="E17" s="191" t="inlineStr">
        <is>
          <t>Cruzar TBL_Inventario con TBL_DetalleVentas
Productos en inventario que no aparecen en ventas</t>
        </is>
      </c>
    </row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</sheetData>
  <mergeCells count="12">
    <mergeCell ref="A5:D13"/>
    <mergeCell ref="E5:H13"/>
    <mergeCell ref="I5:L13"/>
    <mergeCell ref="A17:D25"/>
    <mergeCell ref="A4:D4"/>
    <mergeCell ref="E17:H25"/>
    <mergeCell ref="E4:H4"/>
    <mergeCell ref="I4:L4"/>
    <mergeCell ref="A2:K2"/>
    <mergeCell ref="E16:H16"/>
    <mergeCell ref="A16:D16"/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E7D32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192" t="inlineStr">
        <is>
          <t>👤  DASHBOARD CLIENTES — CRM</t>
        </is>
      </c>
    </row>
    <row r="2" ht="16" customHeight="1">
      <c r="A2" s="168" t="inlineStr">
        <is>
          <t>Conectar con tablas maestras · Usar Tablas Dinámicas o Power Query · Exportable a Looker Studio / Power BI</t>
        </is>
      </c>
    </row>
    <row r="4" ht="20" customHeight="1">
      <c r="A4" s="193" t="inlineStr">
        <is>
          <t>TOP 10 CLIENTES POR FACTURACIÓN</t>
        </is>
      </c>
      <c r="E4" s="193" t="inlineStr">
        <is>
          <t>TOP 10 CLIENTES POR GANANCIA</t>
        </is>
      </c>
      <c r="I4" s="193" t="inlineStr">
        <is>
          <t>DISTRIBUCIÓN POR SEGMENTO</t>
        </is>
      </c>
    </row>
    <row r="5" ht="14" customHeight="1">
      <c r="A5" s="194" t="inlineStr">
        <is>
          <t>GRANDE.K(TBL_Clientes[Facturación total], 1..10)
Fórmula INDEX/MATCH para nombre</t>
        </is>
      </c>
      <c r="E5" s="194" t="inlineStr">
        <is>
          <t>Ordenar TBL_Clientes por Ganancia generada desc</t>
        </is>
      </c>
      <c r="I5" s="194" t="inlineStr">
        <is>
          <t>COUNTIF por Segmento: VIP / Frecuente / Ocasional / Dormido
Gráfico Donut</t>
        </is>
      </c>
    </row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6" ht="20" customHeight="1">
      <c r="A16" s="193" t="inlineStr">
        <is>
          <t>RFM — ANÁLISIS DE VALOR</t>
        </is>
      </c>
      <c r="E16" s="193" t="inlineStr">
        <is>
          <t>ANÁLISIS DE RETENCIÓN</t>
        </is>
      </c>
    </row>
    <row r="17" ht="14" customHeight="1">
      <c r="A17" s="194" t="inlineStr">
        <is>
          <t>Scores R, F, M calculados en TBL_Clientes
Heatmap de segmentos RFM</t>
        </is>
      </c>
      <c r="E17" s="194" t="inlineStr">
        <is>
          <t>Clientes que compraron este mes vs. mes anterior
Fórmula COUNTIFS con fechas</t>
        </is>
      </c>
    </row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</sheetData>
  <mergeCells count="12">
    <mergeCell ref="A5:D13"/>
    <mergeCell ref="E5:H13"/>
    <mergeCell ref="I5:L13"/>
    <mergeCell ref="A17:D25"/>
    <mergeCell ref="A4:D4"/>
    <mergeCell ref="E17:H25"/>
    <mergeCell ref="E4:H4"/>
    <mergeCell ref="I4:L4"/>
    <mergeCell ref="A2:K2"/>
    <mergeCell ref="E16:H16"/>
    <mergeCell ref="A16:D16"/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695C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195" t="inlineStr">
        <is>
          <t>🗺️  DASHBOARD GEOGRÁFICO</t>
        </is>
      </c>
    </row>
    <row r="2" ht="16" customHeight="1">
      <c r="A2" s="168" t="inlineStr">
        <is>
          <t>Conectar con tablas maestras · Usar Tablas Dinámicas o Power Query · Exportable a Looker Studio / Power BI</t>
        </is>
      </c>
    </row>
    <row r="4" ht="20" customHeight="1">
      <c r="A4" s="196" t="inlineStr">
        <is>
          <t>VENTAS POR DEPARTAMENTO</t>
        </is>
      </c>
      <c r="E4" s="196" t="inlineStr">
        <is>
          <t>TOP CIUDADES</t>
        </is>
      </c>
      <c r="I4" s="196" t="inlineStr">
        <is>
          <t>MAPA DE CALOR UY</t>
        </is>
      </c>
    </row>
    <row r="5" ht="14" customHeight="1">
      <c r="A5" s="197">
        <f>SUMIF(TBL_Ventas[Canal via JOIN Ciudad],...)
Tabla Dinámica TBL_Clientes + TBL_Ventas</f>
        <v/>
      </c>
      <c r="E5" s="197" t="inlineStr">
        <is>
          <t>SUMIF con ciudad del cliente</t>
        </is>
      </c>
      <c r="I5" s="197" t="inlineStr">
        <is>
          <t>Exportar tabla a Looker Studio / Power BI
para mapa coroplético de Uruguay</t>
        </is>
      </c>
    </row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6" ht="20" customHeight="1">
      <c r="A16" s="196" t="inlineStr">
        <is>
          <t>COSTO LOGÍSTICO POR ZONA</t>
        </is>
      </c>
      <c r="E16" s="196" t="inlineStr">
        <is>
          <t>RENTABILIDAD POR REGIÓN</t>
        </is>
      </c>
    </row>
    <row r="17" ht="14" customHeight="1">
      <c r="A17" s="197" t="inlineStr">
        <is>
          <t>SUMIF(TBL_Envios[Departamento],...,TBL_Envios[Costo])</t>
        </is>
      </c>
      <c r="E17" s="197" t="inlineStr">
        <is>
          <t>Facturación - Costo Envío por departamento</t>
        </is>
      </c>
    </row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</sheetData>
  <mergeCells count="12">
    <mergeCell ref="A5:D13"/>
    <mergeCell ref="E5:H13"/>
    <mergeCell ref="I5:L13"/>
    <mergeCell ref="A17:D25"/>
    <mergeCell ref="A4:D4"/>
    <mergeCell ref="E17:H25"/>
    <mergeCell ref="E4:H4"/>
    <mergeCell ref="I4:L4"/>
    <mergeCell ref="A2:K2"/>
    <mergeCell ref="E16:H16"/>
    <mergeCell ref="A16:D16"/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5100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198" t="inlineStr">
        <is>
          <t>📣  DASHBOARD MARKETING</t>
        </is>
      </c>
    </row>
    <row r="2" ht="16" customHeight="1">
      <c r="A2" s="168" t="inlineStr">
        <is>
          <t>Conectar con tablas maestras · Usar Tablas Dinámicas o Power Query · Exportable a Looker Studio / Power BI</t>
        </is>
      </c>
    </row>
    <row r="4" ht="20" customHeight="1">
      <c r="A4" s="199" t="inlineStr">
        <is>
          <t>INVERSIÓN vs RETORNO</t>
        </is>
      </c>
      <c r="E4" s="199" t="inlineStr">
        <is>
          <t>CPL — COSTO POR LEAD</t>
        </is>
      </c>
      <c r="I4" s="199" t="inlineStr">
        <is>
          <t>CAC — COSTO ADQUISICIÓN CLIENTE</t>
        </is>
      </c>
    </row>
    <row r="5" ht="14" customHeight="1">
      <c r="A5" s="200" t="inlineStr">
        <is>
          <t>Gráfico Doble Eje: Inversión (barras) + ROAS (línea)
Datos desde TBL_Publicidad</t>
        </is>
      </c>
      <c r="E5" s="200">
        <f>SUMIF(Canal,TBL_Publicidad[Inversión])/COUNTIF(TBL_Leads[Canal],Canal)</f>
        <v/>
      </c>
      <c r="I5" s="200">
        <f>SUM(TBL_Publicidad[Inversión])/COUNTA(TBL_Clientes[ID Cliente])</f>
        <v/>
      </c>
    </row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6" ht="20" customHeight="1">
      <c r="A16" s="199" t="inlineStr">
        <is>
          <t>ROAS POR CAMPAÑA</t>
        </is>
      </c>
      <c r="E16" s="199" t="inlineStr">
        <is>
          <t>CTR Y CONVERSIÓN EMBUDO ADS</t>
        </is>
      </c>
    </row>
    <row r="17" ht="14" customHeight="1">
      <c r="A17" s="200">
        <f>TBL_Publicidad[Facturación atribuida]/TBL_Publicidad[Inversión]
Formato condicional: rojo&lt;2, amarillo&lt;4, verde≥4</f>
        <v/>
      </c>
      <c r="E17" s="200" t="inlineStr">
        <is>
          <t>Alcance→Click→Consulta→Lead→Venta
Mini embudo por campaña</t>
        </is>
      </c>
    </row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</sheetData>
  <mergeCells count="12">
    <mergeCell ref="A5:D13"/>
    <mergeCell ref="E5:H13"/>
    <mergeCell ref="I5:L13"/>
    <mergeCell ref="A17:D25"/>
    <mergeCell ref="A4:D4"/>
    <mergeCell ref="E17:H25"/>
    <mergeCell ref="E4:H4"/>
    <mergeCell ref="I4:L4"/>
    <mergeCell ref="A2:K2"/>
    <mergeCell ref="E16:H16"/>
    <mergeCell ref="A16:D16"/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31837"/>
    <outlinePr summaryBelow="1" summaryRight="1"/>
    <pageSetUpPr/>
  </sheetPr>
  <dimension ref="A1:N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201" t="inlineStr">
        <is>
          <t>🤖  DASHBOARD PITBOT — IA METRICS</t>
        </is>
      </c>
    </row>
    <row r="2" ht="16" customHeight="1">
      <c r="A2" s="168" t="inlineStr">
        <is>
          <t>Conectar con tablas maestras · Usar Tablas Dinámicas o Power Query · Exportable a Looker Studio / Power BI</t>
        </is>
      </c>
    </row>
    <row r="4" ht="20" customHeight="1">
      <c r="A4" s="141" t="inlineStr">
        <is>
          <t>CONVERSACIONES POR CANAL</t>
        </is>
      </c>
      <c r="E4" s="141" t="inlineStr">
        <is>
          <t>TASA DE RESOLUCIÓN</t>
        </is>
      </c>
      <c r="I4" s="141" t="inlineStr">
        <is>
          <t>TASA DE CONVERSIÓN A VENTA</t>
        </is>
      </c>
    </row>
    <row r="5" ht="14" customHeight="1">
      <c r="A5" s="202" t="inlineStr">
        <is>
          <t>COUNTIF(TBL_PitBot[Canal],canal)
Gráfico barras horizontales</t>
        </is>
      </c>
      <c r="E5" s="202" t="inlineStr">
        <is>
          <t>COUNTIF(Resultado,"Resuelto")/COUNTA(Resultado)</t>
        </is>
      </c>
      <c r="I5" s="202" t="inlineStr">
        <is>
          <t>COUNTIF(Resultado,"Venta")/COUNTA(Resultado)</t>
        </is>
      </c>
    </row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6" ht="20" customHeight="1">
      <c r="A16" s="141" t="inlineStr">
        <is>
          <t>TIEMPO MEDIO DE RESPUESTA</t>
        </is>
      </c>
      <c r="E16" s="141" t="inlineStr">
        <is>
          <t>CATEGORÍAS MÁS CONSULTADAS</t>
        </is>
      </c>
      <c r="I16" s="141" t="inlineStr">
        <is>
          <t>SATISFACCIÓN PROMEDIO</t>
        </is>
      </c>
    </row>
    <row r="17" ht="14" customHeight="1">
      <c r="A17" s="202">
        <f>AVERAGE(TBL_PitBot[Tiempo Resp.(min)])</f>
        <v/>
      </c>
      <c r="E17" s="202" t="inlineStr">
        <is>
          <t>COUNTIF por Categoría — Gráfico Donut</t>
        </is>
      </c>
      <c r="I17" s="202">
        <f>AVERAGEIF(TBL_PitBot[Satisfacción],"&gt;0")</f>
        <v/>
      </c>
    </row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8" ht="20" customHeight="1">
      <c r="A28" s="141" t="inlineStr">
        <is>
          <t>FACTURACIÓN ATRIBUIDA PITBOT</t>
        </is>
      </c>
    </row>
    <row r="29" ht="14" customHeight="1">
      <c r="A29" s="202" t="inlineStr">
        <is>
          <t>SUMIF(TBL_Ventas[ID Venta], ventas con origen PitBot)</t>
        </is>
      </c>
    </row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</sheetData>
  <mergeCells count="16">
    <mergeCell ref="A5:D13"/>
    <mergeCell ref="E5:H13"/>
    <mergeCell ref="I5:L13"/>
    <mergeCell ref="A17:D25"/>
    <mergeCell ref="A4:D4"/>
    <mergeCell ref="E17:H25"/>
    <mergeCell ref="E4:H4"/>
    <mergeCell ref="A2:N2"/>
    <mergeCell ref="I4:L4"/>
    <mergeCell ref="I17:L25"/>
    <mergeCell ref="E16:H16"/>
    <mergeCell ref="I16:L16"/>
    <mergeCell ref="A16:D16"/>
    <mergeCell ref="A29:D37"/>
    <mergeCell ref="A28:D28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2026-06-13T04:30:07Z</dcterms:created>
  <dcterms:modified xsi:type="dcterms:W3CDTF">2026-06-13T04:35:42Z</dcterms:modified>
</cp:coreProperties>
</file>